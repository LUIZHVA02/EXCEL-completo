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"/>
    </mc:Choice>
  </mc:AlternateContent>
  <xr:revisionPtr revIDLastSave="0" documentId="13_ncr:1_{48D01608-5EC1-49C6-9D81-90C698921F4D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Plan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2" i="1"/>
</calcChain>
</file>

<file path=xl/sharedStrings.xml><?xml version="1.0" encoding="utf-8"?>
<sst xmlns="http://schemas.openxmlformats.org/spreadsheetml/2006/main" count="46" uniqueCount="35">
  <si>
    <t>Código</t>
  </si>
  <si>
    <t>CNPJ</t>
  </si>
  <si>
    <t>IE</t>
  </si>
  <si>
    <t>Razão Social</t>
  </si>
  <si>
    <t>Contato</t>
  </si>
  <si>
    <t>Sede</t>
  </si>
  <si>
    <t>CEP</t>
  </si>
  <si>
    <t>UF</t>
  </si>
  <si>
    <t>D01</t>
  </si>
  <si>
    <t>H02</t>
  </si>
  <si>
    <t>M03</t>
  </si>
  <si>
    <t>M04</t>
  </si>
  <si>
    <t>B05</t>
  </si>
  <si>
    <t>D06</t>
  </si>
  <si>
    <t>RS</t>
  </si>
  <si>
    <t>SP</t>
  </si>
  <si>
    <t>RJ</t>
  </si>
  <si>
    <t>MG</t>
  </si>
  <si>
    <t>Porto Alegre</t>
  </si>
  <si>
    <t>Barueri</t>
  </si>
  <si>
    <t>São Paulo</t>
  </si>
  <si>
    <t>Rio de Janeiro</t>
  </si>
  <si>
    <t>Belo Horizonte</t>
  </si>
  <si>
    <t>André</t>
  </si>
  <si>
    <t>Manoel</t>
  </si>
  <si>
    <t>Victor</t>
  </si>
  <si>
    <t>Alice</t>
  </si>
  <si>
    <t>Sandra</t>
  </si>
  <si>
    <t>Laís</t>
  </si>
  <si>
    <t>Dell Computadores</t>
  </si>
  <si>
    <t>HP do Brasil S/A</t>
  </si>
  <si>
    <t>Microsoft do Brasil S/A</t>
  </si>
  <si>
    <t>MS Vendas Ltda</t>
  </si>
  <si>
    <t>Bit &amp; Byte Company</t>
  </si>
  <si>
    <t>Daldim &amp; Turci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</si>
</sst>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&quot;-&quot;000"/>
    <numFmt numFmtId="165" formatCode="00&quot;.&quot;000&quot;.&quot;000&quot;/&quot;0000&quot;-&quot;00"/>
    <numFmt numFmtId="166" formatCode="000&quot;.&quot;000&quot;.&quot;000&quot;.&quot;000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B1" sqref="B1"/>
    </sheetView>
  </sheetViews>
  <sheetFormatPr defaultColWidth="18.28515625" defaultRowHeight="15" x14ac:dyDescent="0.25"/>
  <cols>
    <col min="1" max="1" width="11.28515625" bestFit="1" customWidth="1"/>
    <col min="2" max="2" width="21.42578125" bestFit="1" customWidth="1"/>
    <col min="3" max="3" width="4.42578125" customWidth="1"/>
    <col min="4" max="4" width="6.85546875" bestFit="1" customWidth="1"/>
    <col min="5" max="5" width="21.42578125" bestFit="1" customWidth="1"/>
    <col min="6" max="6" width="14.28515625" bestFit="1" customWidth="1"/>
    <col min="7" max="7" width="3.85546875" style="1" bestFit="1" customWidth="1"/>
    <col min="8" max="8" width="9.7109375" bestFit="1" customWidth="1"/>
    <col min="9" max="9" width="7.7109375" bestFit="1" customWidth="1"/>
    <col min="10" max="10" width="20.42578125" customWidth="1"/>
  </cols>
  <sheetData>
    <row r="1" spans="1:11" x14ac:dyDescent="0.25">
      <c r="A1" s="2" t="s">
        <v>0</v>
      </c>
      <c r="B1" s="9" t="s">
        <v>13</v>
      </c>
      <c r="D1" s="4" t="s">
        <v>0</v>
      </c>
      <c r="E1" s="4" t="s">
        <v>3</v>
      </c>
      <c r="F1" s="4" t="s">
        <v>5</v>
      </c>
      <c r="G1" s="6" t="s">
        <v>7</v>
      </c>
      <c r="H1" s="9" t="s">
        <v>6</v>
      </c>
      <c r="I1" s="9" t="s">
        <v>4</v>
      </c>
      <c r="J1" s="4" t="s">
        <v>1</v>
      </c>
      <c r="K1" s="4" t="s">
        <v>2</v>
      </c>
    </row>
    <row r="2" spans="1:11" x14ac:dyDescent="0.25">
      <c r="A2" s="3" t="s">
        <v>1</v>
      </c>
      <c r="B2" s="13">
        <f>VLOOKUP($B$1,$D$2:$K$7,MATCH(A2,$D$1:$K$1,0),0)</f>
        <v>44545888000199</v>
      </c>
      <c r="D2" s="5" t="s">
        <v>8</v>
      </c>
      <c r="E2" s="5" t="s">
        <v>29</v>
      </c>
      <c r="F2" s="5" t="s">
        <v>18</v>
      </c>
      <c r="G2" s="7" t="s">
        <v>14</v>
      </c>
      <c r="H2" s="8">
        <v>96050500</v>
      </c>
      <c r="I2" s="10" t="s">
        <v>23</v>
      </c>
      <c r="J2" s="11">
        <v>66142824000130</v>
      </c>
      <c r="K2" s="12">
        <v>147852369258</v>
      </c>
    </row>
    <row r="3" spans="1:11" x14ac:dyDescent="0.25">
      <c r="A3" s="3" t="s">
        <v>2</v>
      </c>
      <c r="B3" s="14">
        <f t="shared" ref="B3:B7" si="0">VLOOKUP($B$1,$D$2:$K$7,MATCH(A3,$D$1:$K$1,0),0)</f>
        <v>200301250879</v>
      </c>
      <c r="D3" s="5" t="s">
        <v>9</v>
      </c>
      <c r="E3" s="5" t="s">
        <v>30</v>
      </c>
      <c r="F3" s="5" t="s">
        <v>19</v>
      </c>
      <c r="G3" s="7" t="s">
        <v>15</v>
      </c>
      <c r="H3" s="8">
        <v>6350250</v>
      </c>
      <c r="I3" s="5" t="s">
        <v>24</v>
      </c>
      <c r="J3" s="11">
        <v>11123236000128</v>
      </c>
      <c r="K3" s="12">
        <v>369258456987</v>
      </c>
    </row>
    <row r="4" spans="1:11" x14ac:dyDescent="0.25">
      <c r="A4" s="3" t="s">
        <v>3</v>
      </c>
      <c r="B4" s="13" t="str">
        <f t="shared" si="0"/>
        <v>Daldim &amp; Turci Ltda</v>
      </c>
      <c r="D4" s="5" t="s">
        <v>10</v>
      </c>
      <c r="E4" s="5" t="s">
        <v>31</v>
      </c>
      <c r="F4" s="5" t="s">
        <v>20</v>
      </c>
      <c r="G4" s="7" t="s">
        <v>15</v>
      </c>
      <c r="H4" s="8">
        <v>2674000</v>
      </c>
      <c r="I4" s="5" t="s">
        <v>25</v>
      </c>
      <c r="J4" s="11">
        <v>33125447000185</v>
      </c>
      <c r="K4" s="12">
        <v>259953657851</v>
      </c>
    </row>
    <row r="5" spans="1:11" x14ac:dyDescent="0.25">
      <c r="A5" s="3" t="s">
        <v>4</v>
      </c>
      <c r="B5" s="13" t="str">
        <f t="shared" si="0"/>
        <v>Laís</v>
      </c>
      <c r="D5" s="5" t="s">
        <v>11</v>
      </c>
      <c r="E5" s="5" t="s">
        <v>32</v>
      </c>
      <c r="F5" s="5" t="s">
        <v>21</v>
      </c>
      <c r="G5" s="7" t="s">
        <v>16</v>
      </c>
      <c r="H5" s="8">
        <v>20010090</v>
      </c>
      <c r="I5" s="5" t="s">
        <v>26</v>
      </c>
      <c r="J5" s="11">
        <v>89471128000152</v>
      </c>
      <c r="K5" s="12">
        <v>457845954124</v>
      </c>
    </row>
    <row r="6" spans="1:11" x14ac:dyDescent="0.25">
      <c r="A6" s="3" t="s">
        <v>5</v>
      </c>
      <c r="B6" s="13" t="str">
        <f t="shared" si="0"/>
        <v>São Paulo</v>
      </c>
      <c r="D6" s="5" t="s">
        <v>12</v>
      </c>
      <c r="E6" s="5" t="s">
        <v>33</v>
      </c>
      <c r="F6" s="5" t="s">
        <v>22</v>
      </c>
      <c r="G6" s="7" t="s">
        <v>17</v>
      </c>
      <c r="H6" s="8">
        <v>30110005</v>
      </c>
      <c r="I6" s="5" t="s">
        <v>27</v>
      </c>
      <c r="J6" s="11">
        <v>23454858000101</v>
      </c>
      <c r="K6" s="12">
        <v>333352369874</v>
      </c>
    </row>
    <row r="7" spans="1:11" x14ac:dyDescent="0.25">
      <c r="A7" s="3" t="s">
        <v>6</v>
      </c>
      <c r="B7" s="15">
        <f t="shared" si="0"/>
        <v>3550010</v>
      </c>
      <c r="D7" s="5" t="s">
        <v>13</v>
      </c>
      <c r="E7" s="5" t="s">
        <v>34</v>
      </c>
      <c r="F7" s="5" t="s">
        <v>20</v>
      </c>
      <c r="G7" s="7" t="s">
        <v>15</v>
      </c>
      <c r="H7" s="8">
        <v>3550010</v>
      </c>
      <c r="I7" s="5" t="s">
        <v>28</v>
      </c>
      <c r="J7" s="11">
        <v>44545888000199</v>
      </c>
      <c r="K7" s="12">
        <v>200301250879</v>
      </c>
    </row>
  </sheetData>
  <dataValidations count="1">
    <dataValidation type="list" allowBlank="1" showInputMessage="1" showErrorMessage="1" sqref="B1" xr:uid="{993AFFCC-A779-48E8-9F81-79044DEA012E}">
      <formula1>$D$2:$D$7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Henrique Vidal Araújo</dc:creator>
  <cp:lastModifiedBy>WILCK GOMES DE OLIVEIRA</cp:lastModifiedBy>
  <dcterms:created xsi:type="dcterms:W3CDTF">2015-06-05T18:19:34Z</dcterms:created>
  <dcterms:modified xsi:type="dcterms:W3CDTF">2026-03-10T21:53:39Z</dcterms:modified>
</cp:coreProperties>
</file>