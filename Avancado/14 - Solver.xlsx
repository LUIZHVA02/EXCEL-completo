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wilck.alunos\Desktop\EXCEL-COMPLETO\Avancado\"/>
    </mc:Choice>
  </mc:AlternateContent>
  <xr:revisionPtr revIDLastSave="0" documentId="13_ncr:1_{2412C714-38F7-4D84-8FC9-902654AE5525}" xr6:coauthVersionLast="36" xr6:coauthVersionMax="36" xr10:uidLastSave="{00000000-0000-0000-0000-000000000000}"/>
  <bookViews>
    <workbookView xWindow="0" yWindow="0" windowWidth="22260" windowHeight="12645" activeTab="4" xr2:uid="{00000000-000D-0000-FFFF-FFFF00000000}"/>
  </bookViews>
  <sheets>
    <sheet name="Exercício A" sheetId="1" r:id="rId1"/>
    <sheet name="Relatório de Respostas A" sheetId="6" r:id="rId2"/>
    <sheet name="Relatório de Respostas 1" sheetId="7" r:id="rId3"/>
    <sheet name="Relatório de Sensibilidade 1" sheetId="8" r:id="rId4"/>
    <sheet name="Relatório de Limites 1" sheetId="9" r:id="rId5"/>
    <sheet name="Exercício B" sheetId="2" r:id="rId6"/>
    <sheet name="Relatório de Respostas B" sheetId="3" r:id="rId7"/>
    <sheet name="Relatório de Sensibilidade B" sheetId="4" r:id="rId8"/>
    <sheet name="Relatório de Limites B" sheetId="5" r:id="rId9"/>
  </sheets>
  <definedNames>
    <definedName name="solver_adj" localSheetId="0" hidden="1">'Exercício A'!$A$2:$B$2</definedName>
    <definedName name="solver_adj" localSheetId="5" hidden="1">'Exercício B'!$B$2:$B$4</definedName>
    <definedName name="solver_cvg" localSheetId="0" hidden="1">0.0001</definedName>
    <definedName name="solver_cvg" localSheetId="5" hidden="1">0.0001</definedName>
    <definedName name="solver_drv" localSheetId="0" hidden="1">2</definedName>
    <definedName name="solver_drv" localSheetId="5" hidden="1">2</definedName>
    <definedName name="solver_eng" localSheetId="0" hidden="1">1</definedName>
    <definedName name="solver_eng" localSheetId="5" hidden="1">1</definedName>
    <definedName name="solver_est" localSheetId="0" hidden="1">1</definedName>
    <definedName name="solver_est" localSheetId="5" hidden="1">1</definedName>
    <definedName name="solver_itr" localSheetId="0" hidden="1">2147483647</definedName>
    <definedName name="solver_itr" localSheetId="5" hidden="1">2147483647</definedName>
    <definedName name="solver_lhs1" localSheetId="0" hidden="1">'Exercício A'!$A$2</definedName>
    <definedName name="solver_lhs1" localSheetId="5" hidden="1">'Exercício B'!$B$2</definedName>
    <definedName name="solver_lhs2" localSheetId="0" hidden="1">'Exercício A'!$B$2</definedName>
    <definedName name="solver_lhs2" localSheetId="5" hidden="1">'Exercício B'!$B$3</definedName>
    <definedName name="solver_lhs3" localSheetId="0" hidden="1">'Exercício A'!$B$7</definedName>
    <definedName name="solver_lhs3" localSheetId="5" hidden="1">'Exercício B'!$B$4</definedName>
    <definedName name="solver_lhs4" localSheetId="0" hidden="1">'Exercício A'!$B$8</definedName>
    <definedName name="solver_lhs5" localSheetId="0" hidden="1">'Exercício A'!$B$9</definedName>
    <definedName name="solver_lhs6" localSheetId="0" hidden="1">'Exercício A'!$C$14</definedName>
    <definedName name="solver_lhs7" localSheetId="0" hidden="1">'Exercício A'!$C$14</definedName>
    <definedName name="solver_lhs8" localSheetId="0" hidden="1">'Exercício A'!$C$14</definedName>
    <definedName name="solver_mip" localSheetId="0" hidden="1">2147483647</definedName>
    <definedName name="solver_mip" localSheetId="5" hidden="1">2147483647</definedName>
    <definedName name="solver_mni" localSheetId="0" hidden="1">30</definedName>
    <definedName name="solver_mni" localSheetId="5" hidden="1">30</definedName>
    <definedName name="solver_mrt" localSheetId="0" hidden="1">0.075</definedName>
    <definedName name="solver_mrt" localSheetId="5" hidden="1">0.075</definedName>
    <definedName name="solver_msl" localSheetId="0" hidden="1">2</definedName>
    <definedName name="solver_msl" localSheetId="5" hidden="1">2</definedName>
    <definedName name="solver_neg" localSheetId="0" hidden="1">1</definedName>
    <definedName name="solver_neg" localSheetId="5" hidden="1">1</definedName>
    <definedName name="solver_nod" localSheetId="0" hidden="1">2147483647</definedName>
    <definedName name="solver_nod" localSheetId="5" hidden="1">2147483647</definedName>
    <definedName name="solver_num" localSheetId="0" hidden="1">5</definedName>
    <definedName name="solver_num" localSheetId="5" hidden="1">3</definedName>
    <definedName name="solver_nwt" localSheetId="0" hidden="1">1</definedName>
    <definedName name="solver_nwt" localSheetId="5" hidden="1">1</definedName>
    <definedName name="solver_opt" localSheetId="0" hidden="1">'Exercício A'!$B$4</definedName>
    <definedName name="solver_opt" localSheetId="5" hidden="1">'Exercício B'!$B$5</definedName>
    <definedName name="solver_pre" localSheetId="0" hidden="1">0.000001</definedName>
    <definedName name="solver_pre" localSheetId="5" hidden="1">0.000001</definedName>
    <definedName name="solver_rbv" localSheetId="0" hidden="1">2</definedName>
    <definedName name="solver_rbv" localSheetId="5" hidden="1">2</definedName>
    <definedName name="solver_rel1" localSheetId="0" hidden="1">4</definedName>
    <definedName name="solver_rel1" localSheetId="5" hidden="1">1</definedName>
    <definedName name="solver_rel2" localSheetId="0" hidden="1">4</definedName>
    <definedName name="solver_rel2" localSheetId="5" hidden="1">3</definedName>
    <definedName name="solver_rel3" localSheetId="0" hidden="1">1</definedName>
    <definedName name="solver_rel3" localSheetId="5" hidden="1">1</definedName>
    <definedName name="solver_rel4" localSheetId="0" hidden="1">1</definedName>
    <definedName name="solver_rel5" localSheetId="0" hidden="1">1</definedName>
    <definedName name="solver_rel6" localSheetId="0" hidden="1">1</definedName>
    <definedName name="solver_rel7" localSheetId="0" hidden="1">1</definedName>
    <definedName name="solver_rel8" localSheetId="0" hidden="1">1</definedName>
    <definedName name="solver_rhs1" localSheetId="0" hidden="1">número inteiro</definedName>
    <definedName name="solver_rhs1" localSheetId="5" hidden="1">400</definedName>
    <definedName name="solver_rhs2" localSheetId="0" hidden="1">número inteiro</definedName>
    <definedName name="solver_rhs2" localSheetId="5" hidden="1">200</definedName>
    <definedName name="solver_rhs3" localSheetId="0" hidden="1">'Exercício A'!$E$12</definedName>
    <definedName name="solver_rhs3" localSheetId="5" hidden="1">100</definedName>
    <definedName name="solver_rhs4" localSheetId="0" hidden="1">'Exercício A'!$E$13</definedName>
    <definedName name="solver_rhs5" localSheetId="0" hidden="1">'Exercício A'!$E$14</definedName>
    <definedName name="solver_rhs6" localSheetId="0" hidden="1">'Exercício A'!$E$14</definedName>
    <definedName name="solver_rhs7" localSheetId="0" hidden="1">'Exercício A'!$E$14</definedName>
    <definedName name="solver_rhs8" localSheetId="0" hidden="1">'Exercício A'!$E$14</definedName>
    <definedName name="solver_rlx" localSheetId="0" hidden="1">2</definedName>
    <definedName name="solver_rlx" localSheetId="5" hidden="1">2</definedName>
    <definedName name="solver_rsd" localSheetId="0" hidden="1">0</definedName>
    <definedName name="solver_rsd" localSheetId="5" hidden="1">0</definedName>
    <definedName name="solver_scl" localSheetId="0" hidden="1">2</definedName>
    <definedName name="solver_scl" localSheetId="5" hidden="1">2</definedName>
    <definedName name="solver_sho" localSheetId="0" hidden="1">2</definedName>
    <definedName name="solver_sho" localSheetId="5" hidden="1">2</definedName>
    <definedName name="solver_sho" localSheetId="4" hidden="1">2</definedName>
    <definedName name="solver_sho" localSheetId="8" hidden="1">2</definedName>
    <definedName name="solver_ssz" localSheetId="0" hidden="1">100</definedName>
    <definedName name="solver_ssz" localSheetId="5" hidden="1">100</definedName>
    <definedName name="solver_tim" localSheetId="0" hidden="1">2147483647</definedName>
    <definedName name="solver_tim" localSheetId="5" hidden="1">2147483647</definedName>
    <definedName name="solver_tol" localSheetId="0" hidden="1">0.01</definedName>
    <definedName name="solver_tol" localSheetId="5" hidden="1">0.01</definedName>
    <definedName name="solver_typ" localSheetId="0" hidden="1">1</definedName>
    <definedName name="solver_typ" localSheetId="5" hidden="1">3</definedName>
    <definedName name="solver_val" localSheetId="0" hidden="1">0</definedName>
    <definedName name="solver_val" localSheetId="5" hidden="1">10000</definedName>
    <definedName name="solver_ver" localSheetId="0" hidden="1">3</definedName>
    <definedName name="solver_ver" localSheetId="5" hidden="1">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2" i="2"/>
  <c r="B5" i="2"/>
  <c r="D5" i="2" l="1"/>
  <c r="B7" i="1"/>
  <c r="C7" i="1" s="1"/>
  <c r="B8" i="1"/>
  <c r="C8" i="1" s="1"/>
  <c r="B9" i="1"/>
  <c r="C9" i="1" s="1"/>
  <c r="B4" i="1"/>
</calcChain>
</file>

<file path=xl/sharedStrings.xml><?xml version="1.0" encoding="utf-8"?>
<sst xmlns="http://schemas.openxmlformats.org/spreadsheetml/2006/main" count="303" uniqueCount="101">
  <si>
    <t>Quantidade de "X"</t>
  </si>
  <si>
    <t>Quantidade de "Y"</t>
  </si>
  <si>
    <t>Preço X</t>
  </si>
  <si>
    <t>Preço Y</t>
  </si>
  <si>
    <t>Lucro</t>
  </si>
  <si>
    <t>Condição</t>
  </si>
  <si>
    <t>&lt;=</t>
  </si>
  <si>
    <t>X</t>
  </si>
  <si>
    <t>Y</t>
  </si>
  <si>
    <t>Tempo (h) gasto para</t>
  </si>
  <si>
    <t>Produção (P)</t>
  </si>
  <si>
    <t>Montagem (M)</t>
  </si>
  <si>
    <t>Embalagem (E)</t>
  </si>
  <si>
    <t>Tempo gasto por (h)</t>
  </si>
  <si>
    <t>Atende a condição ?</t>
  </si>
  <si>
    <t>Produção</t>
  </si>
  <si>
    <t>Montagem</t>
  </si>
  <si>
    <t>Embalagem</t>
  </si>
  <si>
    <t>Limite</t>
  </si>
  <si>
    <t>Produtos</t>
  </si>
  <si>
    <t>Qd. De Caixa</t>
  </si>
  <si>
    <t>Lucro por Caixa</t>
  </si>
  <si>
    <t>Total</t>
  </si>
  <si>
    <t>Celulares</t>
  </si>
  <si>
    <t>Tablets</t>
  </si>
  <si>
    <t>TV LED 42''</t>
  </si>
  <si>
    <t>Microsoft Excel 16.0 Relatório de Respostas</t>
  </si>
  <si>
    <t>Planilha: [14 - Solver.xlsx]Exercício B</t>
  </si>
  <si>
    <t>Relatório Criado: 25/03/2026 20:39:13</t>
  </si>
  <si>
    <t>Resultado: O Solver encontrou uma solução.  Todas as Restrições e condições de adequação foram satisfeitas.</t>
  </si>
  <si>
    <t>Mecanismo do Solver</t>
  </si>
  <si>
    <t>Mecanismo: GRG Não Linear</t>
  </si>
  <si>
    <t>Tempo da Solução: 0,015 Segundos.</t>
  </si>
  <si>
    <t>Iterações: 4 Subproblemas: 0</t>
  </si>
  <si>
    <t>Opções do Solver</t>
  </si>
  <si>
    <t>Tempo Máx. Ilimitado,  Iterações Ilimitado, Precision 0,000001</t>
  </si>
  <si>
    <t xml:space="preserve"> Convergência 0,0001, Tamanho da População 100, Propagação Aleatória 0, Central de Derivativos</t>
  </si>
  <si>
    <t>Subproblemas Máx. Ilimitado, Soluç. Máx. Núm. Inteiro Ilimitado, Tolerância de Número Inteiro 1%, Assumir Não Negativo</t>
  </si>
  <si>
    <t>Célula do Objetivo (Valor de)</t>
  </si>
  <si>
    <t>Célula</t>
  </si>
  <si>
    <t>Nome</t>
  </si>
  <si>
    <t>Valor Original</t>
  </si>
  <si>
    <t>Valor Final</t>
  </si>
  <si>
    <t>Células Variáveis</t>
  </si>
  <si>
    <t>Número Inteiro</t>
  </si>
  <si>
    <t>Restrições</t>
  </si>
  <si>
    <t>Valor da Célula</t>
  </si>
  <si>
    <t>Fórmula</t>
  </si>
  <si>
    <t>Status</t>
  </si>
  <si>
    <t>Margem de Atraso</t>
  </si>
  <si>
    <t>$B$5</t>
  </si>
  <si>
    <t>Total Qd. De Caixa</t>
  </si>
  <si>
    <t>$B$2</t>
  </si>
  <si>
    <t>Celulares Qd. De Caixa</t>
  </si>
  <si>
    <t>Conting.</t>
  </si>
  <si>
    <t>$B$3</t>
  </si>
  <si>
    <t>Tablets Qd. De Caixa</t>
  </si>
  <si>
    <t>$B$4</t>
  </si>
  <si>
    <t>TV LED 42'' Qd. De Caixa</t>
  </si>
  <si>
    <t>$B$5=10000</t>
  </si>
  <si>
    <t>Associação</t>
  </si>
  <si>
    <t>$B$2&lt;=400</t>
  </si>
  <si>
    <t>$B$3&gt;=200</t>
  </si>
  <si>
    <t>Não-associação</t>
  </si>
  <si>
    <t>$B$4&lt;=100</t>
  </si>
  <si>
    <t>Microsoft Excel 16.0 Relatório de Sensibilidade</t>
  </si>
  <si>
    <t>Relatório Criado: 25/03/2026 20:39:33</t>
  </si>
  <si>
    <t>Final</t>
  </si>
  <si>
    <t>Valor</t>
  </si>
  <si>
    <t>Reduzido</t>
  </si>
  <si>
    <t>Gradiente</t>
  </si>
  <si>
    <t>Lagrange</t>
  </si>
  <si>
    <t>Multiplicador</t>
  </si>
  <si>
    <t>Microsoft Excel 16.0 Relatório de Limites</t>
  </si>
  <si>
    <t>Relatório Criado: 25/03/2026 20:39:47</t>
  </si>
  <si>
    <t>Objetivo</t>
  </si>
  <si>
    <t>Variável</t>
  </si>
  <si>
    <t>Inferior</t>
  </si>
  <si>
    <t>Resultado</t>
  </si>
  <si>
    <t>Superior</t>
  </si>
  <si>
    <t>#N/D</t>
  </si>
  <si>
    <t>Planilha: [14 - Solver.xlsx]Exercício A</t>
  </si>
  <si>
    <t>Relatório Criado: 25/03/2026 20:39:59</t>
  </si>
  <si>
    <t>Tempo da Solução: 0 Segundos.</t>
  </si>
  <si>
    <t>Iterações: 0 Subproblemas: 0</t>
  </si>
  <si>
    <t>Célula do Objetivo (Máx.)</t>
  </si>
  <si>
    <t>Lucro Quantidade de "Y"</t>
  </si>
  <si>
    <t>$A$2</t>
  </si>
  <si>
    <t>$B$7</t>
  </si>
  <si>
    <t>Produção Quantidade de "Y"</t>
  </si>
  <si>
    <t>$B$7&lt;=$E$12</t>
  </si>
  <si>
    <t>$B$8</t>
  </si>
  <si>
    <t>Montagem Quantidade de "Y"</t>
  </si>
  <si>
    <t>$B$8&lt;=$E$13</t>
  </si>
  <si>
    <t>$B$9</t>
  </si>
  <si>
    <t>Embalagem Quantidade de "Y"</t>
  </si>
  <si>
    <t>$B$9&lt;=$E$14</t>
  </si>
  <si>
    <t>$A$2=Número Inteiro</t>
  </si>
  <si>
    <t>$B$2=Número Inteiro</t>
  </si>
  <si>
    <t>Relatório Criado: 01/04/2026 20:09:55</t>
  </si>
  <si>
    <t>Tempo da Solução: 0,031 Segundos.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</si>
</sst>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0" fillId="0" borderId="1" xfId="0" applyBorder="1" applyAlignment="1">
      <alignment horizontal="center" vertical="center"/>
    </xf>
    <xf numFmtId="44" fontId="0" fillId="2" borderId="1" xfId="1" applyFont="1" applyFill="1" applyBorder="1"/>
    <xf numFmtId="0" fontId="2" fillId="2" borderId="1" xfId="0" applyFont="1" applyFill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1" xfId="0" applyNumberFormat="1" applyBorder="1"/>
    <xf numFmtId="0" fontId="2" fillId="0" borderId="0" xfId="0" applyFont="1"/>
    <xf numFmtId="0" fontId="0" fillId="0" borderId="7" xfId="0" applyFill="1" applyBorder="1" applyAlignment="1"/>
    <xf numFmtId="0" fontId="3" fillId="0" borderId="6" xfId="0" applyFont="1" applyFill="1" applyBorder="1" applyAlignment="1">
      <alignment horizontal="center"/>
    </xf>
    <xf numFmtId="0" fontId="0" fillId="0" borderId="8" xfId="0" applyFill="1" applyBorder="1" applyAlignment="1"/>
    <xf numFmtId="0" fontId="0" fillId="0" borderId="7" xfId="0" applyNumberFormat="1" applyFill="1" applyBorder="1" applyAlignment="1"/>
    <xf numFmtId="0" fontId="0" fillId="0" borderId="8" xfId="0" applyNumberFormat="1" applyFill="1" applyBorder="1" applyAlignment="1"/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44" fontId="0" fillId="0" borderId="7" xfId="0" applyNumberFormat="1" applyFill="1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zoomScale="130" zoomScaleNormal="130" workbookViewId="0">
      <selection activeCell="C20" sqref="C20"/>
    </sheetView>
  </sheetViews>
  <sheetFormatPr defaultRowHeight="15" x14ac:dyDescent="0.25"/>
  <cols>
    <col min="1" max="1" width="22.85546875" customWidth="1"/>
    <col min="2" max="3" width="27.42578125" customWidth="1"/>
    <col min="5" max="5" width="13.7109375" bestFit="1" customWidth="1"/>
  </cols>
  <sheetData>
    <row r="1" spans="1:5" x14ac:dyDescent="0.25">
      <c r="A1" s="1" t="s">
        <v>0</v>
      </c>
      <c r="B1" s="1" t="s">
        <v>1</v>
      </c>
      <c r="D1" s="1" t="s">
        <v>2</v>
      </c>
      <c r="E1" s="2">
        <v>12250</v>
      </c>
    </row>
    <row r="2" spans="1:5" x14ac:dyDescent="0.25">
      <c r="A2" s="1">
        <v>4</v>
      </c>
      <c r="B2" s="1">
        <v>4</v>
      </c>
      <c r="D2" s="1" t="s">
        <v>3</v>
      </c>
      <c r="E2" s="2">
        <v>36750</v>
      </c>
    </row>
    <row r="4" spans="1:5" x14ac:dyDescent="0.25">
      <c r="A4" s="1" t="s">
        <v>4</v>
      </c>
      <c r="B4" s="4">
        <f xml:space="preserve"> (E1*A2)+(E2*B2)</f>
        <v>196000</v>
      </c>
    </row>
    <row r="6" spans="1:5" x14ac:dyDescent="0.25">
      <c r="A6" s="17" t="s">
        <v>13</v>
      </c>
      <c r="B6" s="18"/>
      <c r="C6" s="1" t="s">
        <v>14</v>
      </c>
    </row>
    <row r="7" spans="1:5" x14ac:dyDescent="0.25">
      <c r="A7" s="1" t="s">
        <v>15</v>
      </c>
      <c r="B7" s="1">
        <f>($A$2*B12)+($B$2*C12)</f>
        <v>49</v>
      </c>
      <c r="C7" s="1" t="str">
        <f>IF(INT(B7)&lt;=E12,"Sim","Não")</f>
        <v>Sim</v>
      </c>
    </row>
    <row r="8" spans="1:5" x14ac:dyDescent="0.25">
      <c r="A8" s="1" t="s">
        <v>16</v>
      </c>
      <c r="B8" s="1">
        <f t="shared" ref="B8:B9" si="0">($A$2*B13)+($B$2*C13)</f>
        <v>105</v>
      </c>
      <c r="C8" s="1" t="str">
        <f t="shared" ref="C8:C9" si="1">IF(INT(B8)&lt;=E13,"Sim","Não")</f>
        <v>Sim</v>
      </c>
    </row>
    <row r="9" spans="1:5" x14ac:dyDescent="0.25">
      <c r="A9" s="1" t="s">
        <v>17</v>
      </c>
      <c r="B9" s="1">
        <f t="shared" si="0"/>
        <v>84</v>
      </c>
      <c r="C9" s="1" t="str">
        <f t="shared" si="1"/>
        <v>Sim</v>
      </c>
    </row>
    <row r="11" spans="1:5" x14ac:dyDescent="0.25">
      <c r="A11" s="1" t="s">
        <v>9</v>
      </c>
      <c r="B11" s="3" t="s">
        <v>7</v>
      </c>
      <c r="C11" s="3" t="s">
        <v>8</v>
      </c>
      <c r="D11" s="1" t="s">
        <v>5</v>
      </c>
      <c r="E11" s="1" t="s">
        <v>18</v>
      </c>
    </row>
    <row r="12" spans="1:5" x14ac:dyDescent="0.25">
      <c r="A12" s="1" t="s">
        <v>10</v>
      </c>
      <c r="B12" s="3">
        <v>8.75</v>
      </c>
      <c r="C12" s="3">
        <v>3.5</v>
      </c>
      <c r="D12" s="3" t="s">
        <v>6</v>
      </c>
      <c r="E12" s="3">
        <v>70</v>
      </c>
    </row>
    <row r="13" spans="1:5" x14ac:dyDescent="0.25">
      <c r="A13" s="1" t="s">
        <v>11</v>
      </c>
      <c r="B13" s="3">
        <v>5.25</v>
      </c>
      <c r="C13" s="3">
        <v>21</v>
      </c>
      <c r="D13" s="3" t="s">
        <v>6</v>
      </c>
      <c r="E13" s="3">
        <v>105</v>
      </c>
    </row>
    <row r="14" spans="1:5" x14ac:dyDescent="0.25">
      <c r="A14" s="1" t="s">
        <v>12</v>
      </c>
      <c r="B14" s="3">
        <v>7</v>
      </c>
      <c r="C14" s="3">
        <v>14</v>
      </c>
      <c r="D14" s="3" t="s">
        <v>6</v>
      </c>
      <c r="E14" s="3">
        <v>84</v>
      </c>
    </row>
  </sheetData>
  <scenarios current="0">
    <scenario name="teste_01_solver" count="2" user="WILCK GOMES DE OLIVEIRA" comment="Criado por WILCK GOMES DE OLIVEIRA em 3/25/2026">
      <inputCells r="A2" val="17895697.0666667"/>
      <inputCells r="B2" val="53687091.2"/>
    </scenario>
    <scenario name="Teste_02_solver" count="2" user="WILCK GOMES DE OLIVEIRA" comment="Criado por WILCK GOMES DE OLIVEIRA em 3/25/2026">
      <inputCells r="A2" val="4"/>
      <inputCells r="B2" val="4"/>
    </scenario>
  </scenarios>
  <mergeCells count="1"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7945-5264-4F80-973F-489138AD813C}">
  <dimension ref="A1:G31"/>
  <sheetViews>
    <sheetView showGridLines="0" workbookViewId="0"/>
  </sheetViews>
  <sheetFormatPr defaultRowHeight="15" x14ac:dyDescent="0.25"/>
  <cols>
    <col min="1" max="1" width="2.28515625" customWidth="1"/>
    <col min="2" max="2" width="20.28515625" bestFit="1" customWidth="1"/>
    <col min="3" max="3" width="28.5703125" bestFit="1" customWidth="1"/>
    <col min="4" max="4" width="14.42578125" bestFit="1" customWidth="1"/>
    <col min="5" max="5" width="14.28515625" bestFit="1" customWidth="1"/>
    <col min="6" max="6" width="14.85546875" bestFit="1" customWidth="1"/>
    <col min="7" max="7" width="17.5703125" bestFit="1" customWidth="1"/>
  </cols>
  <sheetData>
    <row r="1" spans="1:5" x14ac:dyDescent="0.25">
      <c r="A1" s="8" t="s">
        <v>26</v>
      </c>
    </row>
    <row r="2" spans="1:5" x14ac:dyDescent="0.25">
      <c r="A2" s="8" t="s">
        <v>81</v>
      </c>
    </row>
    <row r="3" spans="1:5" x14ac:dyDescent="0.25">
      <c r="A3" s="8" t="s">
        <v>82</v>
      </c>
    </row>
    <row r="4" spans="1:5" x14ac:dyDescent="0.25">
      <c r="A4" s="8" t="s">
        <v>29</v>
      </c>
    </row>
    <row r="5" spans="1:5" x14ac:dyDescent="0.25">
      <c r="A5" s="8" t="s">
        <v>30</v>
      </c>
    </row>
    <row r="6" spans="1:5" x14ac:dyDescent="0.25">
      <c r="A6" s="8"/>
      <c r="B6" t="s">
        <v>31</v>
      </c>
    </row>
    <row r="7" spans="1:5" x14ac:dyDescent="0.25">
      <c r="A7" s="8"/>
      <c r="B7" t="s">
        <v>83</v>
      </c>
    </row>
    <row r="8" spans="1:5" x14ac:dyDescent="0.25">
      <c r="A8" s="8"/>
      <c r="B8" t="s">
        <v>84</v>
      </c>
    </row>
    <row r="9" spans="1:5" x14ac:dyDescent="0.25">
      <c r="A9" s="8" t="s">
        <v>34</v>
      </c>
    </row>
    <row r="10" spans="1:5" x14ac:dyDescent="0.25">
      <c r="B10" t="s">
        <v>35</v>
      </c>
    </row>
    <row r="11" spans="1:5" x14ac:dyDescent="0.25">
      <c r="B11" t="s">
        <v>36</v>
      </c>
    </row>
    <row r="12" spans="1:5" x14ac:dyDescent="0.25">
      <c r="B12" t="s">
        <v>37</v>
      </c>
    </row>
    <row r="14" spans="1:5" ht="15.75" thickBot="1" x14ac:dyDescent="0.3">
      <c r="A14" t="s">
        <v>85</v>
      </c>
    </row>
    <row r="15" spans="1:5" ht="15.75" thickBot="1" x14ac:dyDescent="0.3">
      <c r="B15" s="10" t="s">
        <v>39</v>
      </c>
      <c r="C15" s="10" t="s">
        <v>40</v>
      </c>
      <c r="D15" s="10" t="s">
        <v>41</v>
      </c>
      <c r="E15" s="10" t="s">
        <v>42</v>
      </c>
    </row>
    <row r="16" spans="1:5" ht="15.75" thickBot="1" x14ac:dyDescent="0.3">
      <c r="B16" s="9" t="s">
        <v>57</v>
      </c>
      <c r="C16" s="9" t="s">
        <v>86</v>
      </c>
      <c r="D16" s="16">
        <v>196000</v>
      </c>
      <c r="E16" s="16">
        <v>196000</v>
      </c>
    </row>
    <row r="19" spans="1:7" ht="15.75" thickBot="1" x14ac:dyDescent="0.3">
      <c r="A19" t="s">
        <v>43</v>
      </c>
    </row>
    <row r="20" spans="1:7" ht="15.75" thickBot="1" x14ac:dyDescent="0.3">
      <c r="B20" s="10" t="s">
        <v>39</v>
      </c>
      <c r="C20" s="10" t="s">
        <v>40</v>
      </c>
      <c r="D20" s="10" t="s">
        <v>41</v>
      </c>
      <c r="E20" s="10" t="s">
        <v>42</v>
      </c>
      <c r="F20" s="10" t="s">
        <v>44</v>
      </c>
    </row>
    <row r="21" spans="1:7" x14ac:dyDescent="0.25">
      <c r="B21" s="11" t="s">
        <v>87</v>
      </c>
      <c r="C21" s="11" t="s">
        <v>0</v>
      </c>
      <c r="D21" s="13">
        <v>4</v>
      </c>
      <c r="E21" s="13">
        <v>4</v>
      </c>
      <c r="F21" s="11" t="s">
        <v>44</v>
      </c>
    </row>
    <row r="22" spans="1:7" ht="15.75" thickBot="1" x14ac:dyDescent="0.3">
      <c r="B22" s="9" t="s">
        <v>52</v>
      </c>
      <c r="C22" s="9" t="s">
        <v>1</v>
      </c>
      <c r="D22" s="12">
        <v>4</v>
      </c>
      <c r="E22" s="12">
        <v>4</v>
      </c>
      <c r="F22" s="9" t="s">
        <v>44</v>
      </c>
    </row>
    <row r="25" spans="1:7" ht="15.75" thickBot="1" x14ac:dyDescent="0.3">
      <c r="A25" t="s">
        <v>45</v>
      </c>
    </row>
    <row r="26" spans="1:7" ht="15.75" thickBot="1" x14ac:dyDescent="0.3">
      <c r="B26" s="10" t="s">
        <v>39</v>
      </c>
      <c r="C26" s="10" t="s">
        <v>40</v>
      </c>
      <c r="D26" s="10" t="s">
        <v>46</v>
      </c>
      <c r="E26" s="10" t="s">
        <v>47</v>
      </c>
      <c r="F26" s="10" t="s">
        <v>48</v>
      </c>
      <c r="G26" s="10" t="s">
        <v>49</v>
      </c>
    </row>
    <row r="27" spans="1:7" x14ac:dyDescent="0.25">
      <c r="B27" s="11" t="s">
        <v>88</v>
      </c>
      <c r="C27" s="11" t="s">
        <v>89</v>
      </c>
      <c r="D27" s="13">
        <v>49</v>
      </c>
      <c r="E27" s="11" t="s">
        <v>90</v>
      </c>
      <c r="F27" s="11" t="s">
        <v>63</v>
      </c>
      <c r="G27" s="11">
        <v>21</v>
      </c>
    </row>
    <row r="28" spans="1:7" x14ac:dyDescent="0.25">
      <c r="B28" s="11" t="s">
        <v>91</v>
      </c>
      <c r="C28" s="11" t="s">
        <v>92</v>
      </c>
      <c r="D28" s="13">
        <v>105</v>
      </c>
      <c r="E28" s="11" t="s">
        <v>93</v>
      </c>
      <c r="F28" s="11" t="s">
        <v>60</v>
      </c>
      <c r="G28" s="11">
        <v>0</v>
      </c>
    </row>
    <row r="29" spans="1:7" x14ac:dyDescent="0.25">
      <c r="B29" s="11" t="s">
        <v>94</v>
      </c>
      <c r="C29" s="11" t="s">
        <v>95</v>
      </c>
      <c r="D29" s="13">
        <v>84</v>
      </c>
      <c r="E29" s="11" t="s">
        <v>96</v>
      </c>
      <c r="F29" s="11" t="s">
        <v>60</v>
      </c>
      <c r="G29" s="11">
        <v>0</v>
      </c>
    </row>
    <row r="30" spans="1:7" x14ac:dyDescent="0.25">
      <c r="B30" s="11" t="s">
        <v>97</v>
      </c>
      <c r="C30" s="11"/>
      <c r="D30" s="11"/>
      <c r="E30" s="11"/>
      <c r="F30" s="11"/>
      <c r="G30" s="11"/>
    </row>
    <row r="31" spans="1:7" ht="15.75" thickBot="1" x14ac:dyDescent="0.3">
      <c r="B31" s="9" t="s">
        <v>98</v>
      </c>
      <c r="C31" s="9"/>
      <c r="D31" s="9"/>
      <c r="E31" s="9"/>
      <c r="F31" s="9"/>
      <c r="G31" s="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50CB-C6A3-4060-B5AB-54B8898F1156}">
  <dimension ref="A1:G31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22.140625" bestFit="1" customWidth="1"/>
    <col min="4" max="4" width="14.42578125" bestFit="1" customWidth="1"/>
    <col min="5" max="5" width="11.140625" bestFit="1" customWidth="1"/>
    <col min="6" max="6" width="14.85546875" bestFit="1" customWidth="1"/>
    <col min="7" max="7" width="17.5703125" bestFit="1" customWidth="1"/>
  </cols>
  <sheetData>
    <row r="1" spans="1:5" x14ac:dyDescent="0.25">
      <c r="A1" s="8" t="s">
        <v>26</v>
      </c>
    </row>
    <row r="2" spans="1:5" x14ac:dyDescent="0.25">
      <c r="A2" s="8" t="s">
        <v>27</v>
      </c>
    </row>
    <row r="3" spans="1:5" x14ac:dyDescent="0.25">
      <c r="A3" s="8" t="s">
        <v>99</v>
      </c>
    </row>
    <row r="4" spans="1:5" x14ac:dyDescent="0.25">
      <c r="A4" s="8" t="s">
        <v>29</v>
      </c>
    </row>
    <row r="5" spans="1:5" x14ac:dyDescent="0.25">
      <c r="A5" s="8" t="s">
        <v>30</v>
      </c>
    </row>
    <row r="6" spans="1:5" x14ac:dyDescent="0.25">
      <c r="A6" s="8"/>
      <c r="B6" t="s">
        <v>31</v>
      </c>
    </row>
    <row r="7" spans="1:5" x14ac:dyDescent="0.25">
      <c r="A7" s="8"/>
      <c r="B7" t="s">
        <v>100</v>
      </c>
    </row>
    <row r="8" spans="1:5" x14ac:dyDescent="0.25">
      <c r="A8" s="8"/>
      <c r="B8" t="s">
        <v>33</v>
      </c>
    </row>
    <row r="9" spans="1:5" x14ac:dyDescent="0.25">
      <c r="A9" s="8" t="s">
        <v>34</v>
      </c>
    </row>
    <row r="10" spans="1:5" x14ac:dyDescent="0.25">
      <c r="B10" t="s">
        <v>35</v>
      </c>
    </row>
    <row r="11" spans="1:5" x14ac:dyDescent="0.25">
      <c r="B11" t="s">
        <v>36</v>
      </c>
    </row>
    <row r="12" spans="1:5" x14ac:dyDescent="0.25">
      <c r="B12" t="s">
        <v>37</v>
      </c>
    </row>
    <row r="14" spans="1:5" ht="15.75" thickBot="1" x14ac:dyDescent="0.3">
      <c r="A14" t="s">
        <v>38</v>
      </c>
    </row>
    <row r="15" spans="1:5" ht="15.75" thickBot="1" x14ac:dyDescent="0.3">
      <c r="B15" s="19" t="s">
        <v>39</v>
      </c>
      <c r="C15" s="19" t="s">
        <v>40</v>
      </c>
      <c r="D15" s="19" t="s">
        <v>41</v>
      </c>
      <c r="E15" s="19" t="s">
        <v>42</v>
      </c>
    </row>
    <row r="16" spans="1:5" ht="15.75" thickBot="1" x14ac:dyDescent="0.3">
      <c r="B16" s="9" t="s">
        <v>50</v>
      </c>
      <c r="C16" s="9" t="s">
        <v>51</v>
      </c>
      <c r="D16" s="12">
        <v>0</v>
      </c>
      <c r="E16" s="12">
        <v>10000</v>
      </c>
    </row>
    <row r="19" spans="1:7" ht="15.75" thickBot="1" x14ac:dyDescent="0.3">
      <c r="A19" t="s">
        <v>43</v>
      </c>
    </row>
    <row r="20" spans="1:7" ht="15.75" thickBot="1" x14ac:dyDescent="0.3">
      <c r="B20" s="19" t="s">
        <v>39</v>
      </c>
      <c r="C20" s="19" t="s">
        <v>40</v>
      </c>
      <c r="D20" s="19" t="s">
        <v>41</v>
      </c>
      <c r="E20" s="19" t="s">
        <v>42</v>
      </c>
      <c r="F20" s="19" t="s">
        <v>44</v>
      </c>
    </row>
    <row r="21" spans="1:7" x14ac:dyDescent="0.25">
      <c r="B21" s="11" t="s">
        <v>52</v>
      </c>
      <c r="C21" s="11" t="s">
        <v>53</v>
      </c>
      <c r="D21" s="13">
        <v>0</v>
      </c>
      <c r="E21" s="13">
        <v>400</v>
      </c>
      <c r="F21" s="11" t="s">
        <v>54</v>
      </c>
    </row>
    <row r="22" spans="1:7" x14ac:dyDescent="0.25">
      <c r="B22" s="11" t="s">
        <v>55</v>
      </c>
      <c r="C22" s="11" t="s">
        <v>56</v>
      </c>
      <c r="D22" s="13">
        <v>0</v>
      </c>
      <c r="E22" s="13">
        <v>9500</v>
      </c>
      <c r="F22" s="11" t="s">
        <v>54</v>
      </c>
    </row>
    <row r="23" spans="1:7" ht="15.75" thickBot="1" x14ac:dyDescent="0.3">
      <c r="B23" s="9" t="s">
        <v>57</v>
      </c>
      <c r="C23" s="9" t="s">
        <v>58</v>
      </c>
      <c r="D23" s="12">
        <v>0</v>
      </c>
      <c r="E23" s="12">
        <v>100</v>
      </c>
      <c r="F23" s="9" t="s">
        <v>54</v>
      </c>
    </row>
    <row r="26" spans="1:7" ht="15.75" thickBot="1" x14ac:dyDescent="0.3">
      <c r="A26" t="s">
        <v>45</v>
      </c>
    </row>
    <row r="27" spans="1:7" ht="15.75" thickBot="1" x14ac:dyDescent="0.3">
      <c r="B27" s="19" t="s">
        <v>39</v>
      </c>
      <c r="C27" s="19" t="s">
        <v>40</v>
      </c>
      <c r="D27" s="19" t="s">
        <v>46</v>
      </c>
      <c r="E27" s="19" t="s">
        <v>47</v>
      </c>
      <c r="F27" s="19" t="s">
        <v>48</v>
      </c>
      <c r="G27" s="19" t="s">
        <v>49</v>
      </c>
    </row>
    <row r="28" spans="1:7" x14ac:dyDescent="0.25">
      <c r="B28" s="11" t="s">
        <v>50</v>
      </c>
      <c r="C28" s="11" t="s">
        <v>51</v>
      </c>
      <c r="D28" s="13">
        <v>10000</v>
      </c>
      <c r="E28" s="11" t="s">
        <v>59</v>
      </c>
      <c r="F28" s="11" t="s">
        <v>60</v>
      </c>
      <c r="G28" s="11">
        <v>0</v>
      </c>
    </row>
    <row r="29" spans="1:7" x14ac:dyDescent="0.25">
      <c r="B29" s="11" t="s">
        <v>52</v>
      </c>
      <c r="C29" s="11" t="s">
        <v>53</v>
      </c>
      <c r="D29" s="13">
        <v>400</v>
      </c>
      <c r="E29" s="11" t="s">
        <v>61</v>
      </c>
      <c r="F29" s="11" t="s">
        <v>60</v>
      </c>
      <c r="G29" s="11">
        <v>0</v>
      </c>
    </row>
    <row r="30" spans="1:7" x14ac:dyDescent="0.25">
      <c r="B30" s="11" t="s">
        <v>55</v>
      </c>
      <c r="C30" s="11" t="s">
        <v>56</v>
      </c>
      <c r="D30" s="13">
        <v>9500</v>
      </c>
      <c r="E30" s="11" t="s">
        <v>62</v>
      </c>
      <c r="F30" s="11" t="s">
        <v>63</v>
      </c>
      <c r="G30" s="13">
        <v>9300</v>
      </c>
    </row>
    <row r="31" spans="1:7" ht="15.75" thickBot="1" x14ac:dyDescent="0.3">
      <c r="B31" s="9" t="s">
        <v>57</v>
      </c>
      <c r="C31" s="9" t="s">
        <v>58</v>
      </c>
      <c r="D31" s="12">
        <v>100</v>
      </c>
      <c r="E31" s="9" t="s">
        <v>64</v>
      </c>
      <c r="F31" s="9" t="s">
        <v>60</v>
      </c>
      <c r="G31" s="9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9C8B3-F5B0-48CB-BAAC-9EEE2AE01D18}">
  <dimension ref="A1:E16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22.140625" bestFit="1" customWidth="1"/>
    <col min="4" max="4" width="6" bestFit="1" customWidth="1"/>
    <col min="5" max="5" width="13.140625" bestFit="1" customWidth="1"/>
  </cols>
  <sheetData>
    <row r="1" spans="1:5" x14ac:dyDescent="0.25">
      <c r="A1" s="8" t="s">
        <v>65</v>
      </c>
    </row>
    <row r="2" spans="1:5" x14ac:dyDescent="0.25">
      <c r="A2" s="8" t="s">
        <v>27</v>
      </c>
    </row>
    <row r="3" spans="1:5" x14ac:dyDescent="0.25">
      <c r="A3" s="8" t="s">
        <v>99</v>
      </c>
    </row>
    <row r="6" spans="1:5" ht="15.75" thickBot="1" x14ac:dyDescent="0.3">
      <c r="A6" t="s">
        <v>43</v>
      </c>
    </row>
    <row r="7" spans="1:5" x14ac:dyDescent="0.25">
      <c r="B7" s="20"/>
      <c r="C7" s="20"/>
      <c r="D7" s="20" t="s">
        <v>67</v>
      </c>
      <c r="E7" s="20" t="s">
        <v>69</v>
      </c>
    </row>
    <row r="8" spans="1:5" ht="15.75" thickBot="1" x14ac:dyDescent="0.3">
      <c r="B8" s="21" t="s">
        <v>39</v>
      </c>
      <c r="C8" s="21" t="s">
        <v>40</v>
      </c>
      <c r="D8" s="21" t="s">
        <v>68</v>
      </c>
      <c r="E8" s="21" t="s">
        <v>70</v>
      </c>
    </row>
    <row r="9" spans="1:5" x14ac:dyDescent="0.25">
      <c r="B9" s="11" t="s">
        <v>52</v>
      </c>
      <c r="C9" s="11" t="s">
        <v>53</v>
      </c>
      <c r="D9" s="11">
        <v>400</v>
      </c>
      <c r="E9" s="11">
        <v>0</v>
      </c>
    </row>
    <row r="10" spans="1:5" x14ac:dyDescent="0.25">
      <c r="B10" s="11" t="s">
        <v>55</v>
      </c>
      <c r="C10" s="11" t="s">
        <v>56</v>
      </c>
      <c r="D10" s="11">
        <v>9500</v>
      </c>
      <c r="E10" s="11">
        <v>0</v>
      </c>
    </row>
    <row r="11" spans="1:5" ht="15.75" thickBot="1" x14ac:dyDescent="0.3">
      <c r="B11" s="9" t="s">
        <v>57</v>
      </c>
      <c r="C11" s="9" t="s">
        <v>58</v>
      </c>
      <c r="D11" s="9">
        <v>100</v>
      </c>
      <c r="E11" s="9">
        <v>0</v>
      </c>
    </row>
    <row r="13" spans="1:5" ht="15.75" thickBot="1" x14ac:dyDescent="0.3">
      <c r="A13" t="s">
        <v>45</v>
      </c>
    </row>
    <row r="14" spans="1:5" x14ac:dyDescent="0.25">
      <c r="B14" s="20"/>
      <c r="C14" s="20"/>
      <c r="D14" s="20" t="s">
        <v>67</v>
      </c>
      <c r="E14" s="20" t="s">
        <v>71</v>
      </c>
    </row>
    <row r="15" spans="1:5" ht="15.75" thickBot="1" x14ac:dyDescent="0.3">
      <c r="B15" s="21" t="s">
        <v>39</v>
      </c>
      <c r="C15" s="21" t="s">
        <v>40</v>
      </c>
      <c r="D15" s="21" t="s">
        <v>68</v>
      </c>
      <c r="E15" s="21" t="s">
        <v>72</v>
      </c>
    </row>
    <row r="16" spans="1:5" ht="15.75" thickBot="1" x14ac:dyDescent="0.3">
      <c r="B16" s="9" t="s">
        <v>50</v>
      </c>
      <c r="C16" s="9" t="s">
        <v>51</v>
      </c>
      <c r="D16" s="9">
        <v>10000</v>
      </c>
      <c r="E16" s="9"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0436-1FC9-4598-A9C6-E1E6E167A3B9}">
  <dimension ref="A1:J15"/>
  <sheetViews>
    <sheetView showGridLines="0" tabSelected="1" workbookViewId="0">
      <selection activeCell="F13" sqref="F13"/>
    </sheetView>
  </sheetViews>
  <sheetFormatPr defaultRowHeight="15" x14ac:dyDescent="0.25"/>
  <cols>
    <col min="1" max="1" width="2.28515625" customWidth="1"/>
    <col min="2" max="2" width="6.5703125" bestFit="1" customWidth="1"/>
    <col min="3" max="3" width="22.140625" bestFit="1" customWidth="1"/>
    <col min="4" max="4" width="6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8" t="s">
        <v>73</v>
      </c>
    </row>
    <row r="2" spans="1:10" x14ac:dyDescent="0.25">
      <c r="A2" s="8" t="s">
        <v>27</v>
      </c>
    </row>
    <row r="3" spans="1:10" x14ac:dyDescent="0.25">
      <c r="A3" s="8" t="s">
        <v>99</v>
      </c>
    </row>
    <row r="5" spans="1:10" ht="15.75" thickBot="1" x14ac:dyDescent="0.3"/>
    <row r="6" spans="1:10" x14ac:dyDescent="0.25">
      <c r="B6" s="20"/>
      <c r="C6" s="20" t="s">
        <v>75</v>
      </c>
      <c r="D6" s="20"/>
    </row>
    <row r="7" spans="1:10" ht="15.75" thickBot="1" x14ac:dyDescent="0.3">
      <c r="B7" s="21" t="s">
        <v>39</v>
      </c>
      <c r="C7" s="21" t="s">
        <v>40</v>
      </c>
      <c r="D7" s="21" t="s">
        <v>68</v>
      </c>
    </row>
    <row r="8" spans="1:10" ht="15.75" thickBot="1" x14ac:dyDescent="0.3">
      <c r="B8" s="9" t="s">
        <v>50</v>
      </c>
      <c r="C8" s="9" t="s">
        <v>51</v>
      </c>
      <c r="D8" s="12">
        <v>10000</v>
      </c>
    </row>
    <row r="10" spans="1:10" ht="15.75" thickBot="1" x14ac:dyDescent="0.3"/>
    <row r="11" spans="1:10" x14ac:dyDescent="0.25">
      <c r="B11" s="20"/>
      <c r="C11" s="20" t="s">
        <v>76</v>
      </c>
      <c r="D11" s="20"/>
      <c r="F11" s="20" t="s">
        <v>77</v>
      </c>
      <c r="G11" s="20" t="s">
        <v>75</v>
      </c>
      <c r="I11" s="20" t="s">
        <v>79</v>
      </c>
      <c r="J11" s="20" t="s">
        <v>75</v>
      </c>
    </row>
    <row r="12" spans="1:10" ht="15.75" thickBot="1" x14ac:dyDescent="0.3">
      <c r="B12" s="21" t="s">
        <v>39</v>
      </c>
      <c r="C12" s="21" t="s">
        <v>40</v>
      </c>
      <c r="D12" s="21" t="s">
        <v>68</v>
      </c>
      <c r="F12" s="21" t="s">
        <v>18</v>
      </c>
      <c r="G12" s="21" t="s">
        <v>78</v>
      </c>
      <c r="I12" s="21" t="s">
        <v>18</v>
      </c>
      <c r="J12" s="21" t="s">
        <v>78</v>
      </c>
    </row>
    <row r="13" spans="1:10" x14ac:dyDescent="0.25">
      <c r="B13" s="11" t="s">
        <v>52</v>
      </c>
      <c r="C13" s="11" t="s">
        <v>53</v>
      </c>
      <c r="D13" s="13">
        <v>400</v>
      </c>
      <c r="F13" s="13">
        <v>0</v>
      </c>
      <c r="G13" s="13">
        <v>9600</v>
      </c>
      <c r="I13" s="13">
        <v>400</v>
      </c>
      <c r="J13" s="13">
        <v>10000</v>
      </c>
    </row>
    <row r="14" spans="1:10" x14ac:dyDescent="0.25">
      <c r="B14" s="11" t="s">
        <v>55</v>
      </c>
      <c r="C14" s="11" t="s">
        <v>56</v>
      </c>
      <c r="D14" s="13">
        <v>9500</v>
      </c>
      <c r="F14" s="13">
        <v>200</v>
      </c>
      <c r="G14" s="13">
        <v>700</v>
      </c>
      <c r="I14" s="11" t="s">
        <v>80</v>
      </c>
      <c r="J14" s="11" t="s">
        <v>80</v>
      </c>
    </row>
    <row r="15" spans="1:10" ht="15.75" thickBot="1" x14ac:dyDescent="0.3">
      <c r="B15" s="9" t="s">
        <v>57</v>
      </c>
      <c r="C15" s="9" t="s">
        <v>58</v>
      </c>
      <c r="D15" s="12">
        <v>100</v>
      </c>
      <c r="F15" s="12">
        <v>0</v>
      </c>
      <c r="G15" s="12">
        <v>9900</v>
      </c>
      <c r="I15" s="12">
        <v>100</v>
      </c>
      <c r="J15" s="12">
        <v>10000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EA84-236C-4B11-BBDF-042403B0460E}">
  <dimension ref="A1:D5"/>
  <sheetViews>
    <sheetView zoomScale="340" zoomScaleNormal="340" workbookViewId="0">
      <selection activeCell="C6" sqref="C6"/>
    </sheetView>
  </sheetViews>
  <sheetFormatPr defaultRowHeight="15" x14ac:dyDescent="0.25"/>
  <cols>
    <col min="1" max="1" width="10.140625" bestFit="1" customWidth="1"/>
    <col min="2" max="2" width="12.140625" bestFit="1" customWidth="1"/>
    <col min="3" max="3" width="14.42578125" bestFit="1" customWidth="1"/>
    <col min="4" max="4" width="16.85546875" bestFit="1" customWidth="1"/>
  </cols>
  <sheetData>
    <row r="1" spans="1:4" x14ac:dyDescent="0.25">
      <c r="A1" s="5" t="s">
        <v>19</v>
      </c>
      <c r="B1" s="5" t="s">
        <v>20</v>
      </c>
      <c r="C1" s="5" t="s">
        <v>21</v>
      </c>
      <c r="D1" s="5" t="s">
        <v>22</v>
      </c>
    </row>
    <row r="2" spans="1:4" x14ac:dyDescent="0.25">
      <c r="A2" s="1" t="s">
        <v>23</v>
      </c>
      <c r="B2" s="3">
        <v>400</v>
      </c>
      <c r="C2" s="6">
        <v>8000</v>
      </c>
      <c r="D2" s="7">
        <f>B2*C2</f>
        <v>3200000</v>
      </c>
    </row>
    <row r="3" spans="1:4" x14ac:dyDescent="0.25">
      <c r="A3" s="1" t="s">
        <v>24</v>
      </c>
      <c r="B3" s="3">
        <v>9500</v>
      </c>
      <c r="C3" s="6">
        <v>2000</v>
      </c>
      <c r="D3" s="7">
        <f t="shared" ref="D3:D4" si="0">B3*C3</f>
        <v>19000000</v>
      </c>
    </row>
    <row r="4" spans="1:4" x14ac:dyDescent="0.25">
      <c r="A4" s="1" t="s">
        <v>25</v>
      </c>
      <c r="B4" s="3">
        <v>100</v>
      </c>
      <c r="C4" s="6">
        <v>3000</v>
      </c>
      <c r="D4" s="7">
        <f t="shared" si="0"/>
        <v>300000</v>
      </c>
    </row>
    <row r="5" spans="1:4" x14ac:dyDescent="0.25">
      <c r="A5" s="1" t="s">
        <v>22</v>
      </c>
      <c r="B5" s="1">
        <f>SUM(B2:B4)</f>
        <v>10000</v>
      </c>
      <c r="D5" s="7">
        <f>SUM(D2:D4)</f>
        <v>22500000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B0D24-AEA1-4580-B23A-FAE7B707AC2E}">
  <dimension ref="A1:G31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22.140625" bestFit="1" customWidth="1"/>
    <col min="4" max="4" width="14.42578125" bestFit="1" customWidth="1"/>
    <col min="5" max="5" width="11.140625" bestFit="1" customWidth="1"/>
    <col min="6" max="6" width="14.85546875" bestFit="1" customWidth="1"/>
    <col min="7" max="7" width="17.5703125" bestFit="1" customWidth="1"/>
  </cols>
  <sheetData>
    <row r="1" spans="1:5" x14ac:dyDescent="0.25">
      <c r="A1" s="8" t="s">
        <v>26</v>
      </c>
    </row>
    <row r="2" spans="1:5" x14ac:dyDescent="0.25">
      <c r="A2" s="8" t="s">
        <v>27</v>
      </c>
    </row>
    <row r="3" spans="1:5" x14ac:dyDescent="0.25">
      <c r="A3" s="8" t="s">
        <v>28</v>
      </c>
    </row>
    <row r="4" spans="1:5" x14ac:dyDescent="0.25">
      <c r="A4" s="8" t="s">
        <v>29</v>
      </c>
    </row>
    <row r="5" spans="1:5" x14ac:dyDescent="0.25">
      <c r="A5" s="8" t="s">
        <v>30</v>
      </c>
    </row>
    <row r="6" spans="1:5" x14ac:dyDescent="0.25">
      <c r="A6" s="8"/>
      <c r="B6" t="s">
        <v>31</v>
      </c>
    </row>
    <row r="7" spans="1:5" x14ac:dyDescent="0.25">
      <c r="A7" s="8"/>
      <c r="B7" t="s">
        <v>32</v>
      </c>
    </row>
    <row r="8" spans="1:5" x14ac:dyDescent="0.25">
      <c r="A8" s="8"/>
      <c r="B8" t="s">
        <v>33</v>
      </c>
    </row>
    <row r="9" spans="1:5" x14ac:dyDescent="0.25">
      <c r="A9" s="8" t="s">
        <v>34</v>
      </c>
    </row>
    <row r="10" spans="1:5" x14ac:dyDescent="0.25">
      <c r="B10" t="s">
        <v>35</v>
      </c>
    </row>
    <row r="11" spans="1:5" x14ac:dyDescent="0.25">
      <c r="B11" t="s">
        <v>36</v>
      </c>
    </row>
    <row r="12" spans="1:5" x14ac:dyDescent="0.25">
      <c r="B12" t="s">
        <v>37</v>
      </c>
    </row>
    <row r="14" spans="1:5" ht="15.75" thickBot="1" x14ac:dyDescent="0.3">
      <c r="A14" t="s">
        <v>38</v>
      </c>
    </row>
    <row r="15" spans="1:5" ht="15.75" thickBot="1" x14ac:dyDescent="0.3">
      <c r="B15" s="10" t="s">
        <v>39</v>
      </c>
      <c r="C15" s="10" t="s">
        <v>40</v>
      </c>
      <c r="D15" s="10" t="s">
        <v>41</v>
      </c>
      <c r="E15" s="10" t="s">
        <v>42</v>
      </c>
    </row>
    <row r="16" spans="1:5" ht="15.75" thickBot="1" x14ac:dyDescent="0.3">
      <c r="B16" s="9" t="s">
        <v>50</v>
      </c>
      <c r="C16" s="9" t="s">
        <v>51</v>
      </c>
      <c r="D16" s="12">
        <v>0</v>
      </c>
      <c r="E16" s="12">
        <v>10000</v>
      </c>
    </row>
    <row r="19" spans="1:7" ht="15.75" thickBot="1" x14ac:dyDescent="0.3">
      <c r="A19" t="s">
        <v>43</v>
      </c>
    </row>
    <row r="20" spans="1:7" ht="15.75" thickBot="1" x14ac:dyDescent="0.3">
      <c r="B20" s="10" t="s">
        <v>39</v>
      </c>
      <c r="C20" s="10" t="s">
        <v>40</v>
      </c>
      <c r="D20" s="10" t="s">
        <v>41</v>
      </c>
      <c r="E20" s="10" t="s">
        <v>42</v>
      </c>
      <c r="F20" s="10" t="s">
        <v>44</v>
      </c>
    </row>
    <row r="21" spans="1:7" x14ac:dyDescent="0.25">
      <c r="B21" s="11" t="s">
        <v>52</v>
      </c>
      <c r="C21" s="11" t="s">
        <v>53</v>
      </c>
      <c r="D21" s="13">
        <v>0</v>
      </c>
      <c r="E21" s="13">
        <v>400</v>
      </c>
      <c r="F21" s="11" t="s">
        <v>54</v>
      </c>
    </row>
    <row r="22" spans="1:7" x14ac:dyDescent="0.25">
      <c r="B22" s="11" t="s">
        <v>55</v>
      </c>
      <c r="C22" s="11" t="s">
        <v>56</v>
      </c>
      <c r="D22" s="13">
        <v>0</v>
      </c>
      <c r="E22" s="13">
        <v>9500</v>
      </c>
      <c r="F22" s="11" t="s">
        <v>54</v>
      </c>
    </row>
    <row r="23" spans="1:7" ht="15.75" thickBot="1" x14ac:dyDescent="0.3">
      <c r="B23" s="9" t="s">
        <v>57</v>
      </c>
      <c r="C23" s="9" t="s">
        <v>58</v>
      </c>
      <c r="D23" s="12">
        <v>0</v>
      </c>
      <c r="E23" s="12">
        <v>100</v>
      </c>
      <c r="F23" s="9" t="s">
        <v>54</v>
      </c>
    </row>
    <row r="26" spans="1:7" ht="15.75" thickBot="1" x14ac:dyDescent="0.3">
      <c r="A26" t="s">
        <v>45</v>
      </c>
    </row>
    <row r="27" spans="1:7" ht="15.75" thickBot="1" x14ac:dyDescent="0.3">
      <c r="B27" s="10" t="s">
        <v>39</v>
      </c>
      <c r="C27" s="10" t="s">
        <v>40</v>
      </c>
      <c r="D27" s="10" t="s">
        <v>46</v>
      </c>
      <c r="E27" s="10" t="s">
        <v>47</v>
      </c>
      <c r="F27" s="10" t="s">
        <v>48</v>
      </c>
      <c r="G27" s="10" t="s">
        <v>49</v>
      </c>
    </row>
    <row r="28" spans="1:7" x14ac:dyDescent="0.25">
      <c r="B28" s="11" t="s">
        <v>50</v>
      </c>
      <c r="C28" s="11" t="s">
        <v>51</v>
      </c>
      <c r="D28" s="13">
        <v>10000</v>
      </c>
      <c r="E28" s="11" t="s">
        <v>59</v>
      </c>
      <c r="F28" s="11" t="s">
        <v>60</v>
      </c>
      <c r="G28" s="11">
        <v>0</v>
      </c>
    </row>
    <row r="29" spans="1:7" x14ac:dyDescent="0.25">
      <c r="B29" s="11" t="s">
        <v>52</v>
      </c>
      <c r="C29" s="11" t="s">
        <v>53</v>
      </c>
      <c r="D29" s="13">
        <v>400</v>
      </c>
      <c r="E29" s="11" t="s">
        <v>61</v>
      </c>
      <c r="F29" s="11" t="s">
        <v>60</v>
      </c>
      <c r="G29" s="11">
        <v>0</v>
      </c>
    </row>
    <row r="30" spans="1:7" x14ac:dyDescent="0.25">
      <c r="B30" s="11" t="s">
        <v>55</v>
      </c>
      <c r="C30" s="11" t="s">
        <v>56</v>
      </c>
      <c r="D30" s="13">
        <v>9500</v>
      </c>
      <c r="E30" s="11" t="s">
        <v>62</v>
      </c>
      <c r="F30" s="11" t="s">
        <v>63</v>
      </c>
      <c r="G30" s="13">
        <v>9300</v>
      </c>
    </row>
    <row r="31" spans="1:7" ht="15.75" thickBot="1" x14ac:dyDescent="0.3">
      <c r="B31" s="9" t="s">
        <v>57</v>
      </c>
      <c r="C31" s="9" t="s">
        <v>58</v>
      </c>
      <c r="D31" s="12">
        <v>100</v>
      </c>
      <c r="E31" s="9" t="s">
        <v>64</v>
      </c>
      <c r="F31" s="9" t="s">
        <v>60</v>
      </c>
      <c r="G31" s="9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8ADDE-D9A6-46DB-BEC9-B922E3152D98}">
  <dimension ref="A1:E16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22.140625" bestFit="1" customWidth="1"/>
    <col min="4" max="4" width="6" bestFit="1" customWidth="1"/>
    <col min="5" max="5" width="13.140625" bestFit="1" customWidth="1"/>
  </cols>
  <sheetData>
    <row r="1" spans="1:5" x14ac:dyDescent="0.25">
      <c r="A1" s="8" t="s">
        <v>65</v>
      </c>
    </row>
    <row r="2" spans="1:5" x14ac:dyDescent="0.25">
      <c r="A2" s="8" t="s">
        <v>27</v>
      </c>
    </row>
    <row r="3" spans="1:5" x14ac:dyDescent="0.25">
      <c r="A3" s="8" t="s">
        <v>66</v>
      </c>
    </row>
    <row r="6" spans="1:5" ht="15.75" thickBot="1" x14ac:dyDescent="0.3">
      <c r="A6" t="s">
        <v>43</v>
      </c>
    </row>
    <row r="7" spans="1:5" x14ac:dyDescent="0.25">
      <c r="B7" s="14"/>
      <c r="C7" s="14"/>
      <c r="D7" s="14" t="s">
        <v>67</v>
      </c>
      <c r="E7" s="14" t="s">
        <v>69</v>
      </c>
    </row>
    <row r="8" spans="1:5" ht="15.75" thickBot="1" x14ac:dyDescent="0.3">
      <c r="B8" s="15" t="s">
        <v>39</v>
      </c>
      <c r="C8" s="15" t="s">
        <v>40</v>
      </c>
      <c r="D8" s="15" t="s">
        <v>68</v>
      </c>
      <c r="E8" s="15" t="s">
        <v>70</v>
      </c>
    </row>
    <row r="9" spans="1:5" x14ac:dyDescent="0.25">
      <c r="B9" s="11" t="s">
        <v>52</v>
      </c>
      <c r="C9" s="11" t="s">
        <v>53</v>
      </c>
      <c r="D9" s="11">
        <v>400</v>
      </c>
      <c r="E9" s="11">
        <v>0</v>
      </c>
    </row>
    <row r="10" spans="1:5" x14ac:dyDescent="0.25">
      <c r="B10" s="11" t="s">
        <v>55</v>
      </c>
      <c r="C10" s="11" t="s">
        <v>56</v>
      </c>
      <c r="D10" s="11">
        <v>9500</v>
      </c>
      <c r="E10" s="11">
        <v>0</v>
      </c>
    </row>
    <row r="11" spans="1:5" ht="15.75" thickBot="1" x14ac:dyDescent="0.3">
      <c r="B11" s="9" t="s">
        <v>57</v>
      </c>
      <c r="C11" s="9" t="s">
        <v>58</v>
      </c>
      <c r="D11" s="9">
        <v>100</v>
      </c>
      <c r="E11" s="9">
        <v>0</v>
      </c>
    </row>
    <row r="13" spans="1:5" ht="15.75" thickBot="1" x14ac:dyDescent="0.3">
      <c r="A13" t="s">
        <v>45</v>
      </c>
    </row>
    <row r="14" spans="1:5" x14ac:dyDescent="0.25">
      <c r="B14" s="14"/>
      <c r="C14" s="14"/>
      <c r="D14" s="14" t="s">
        <v>67</v>
      </c>
      <c r="E14" s="14" t="s">
        <v>71</v>
      </c>
    </row>
    <row r="15" spans="1:5" ht="15.75" thickBot="1" x14ac:dyDescent="0.3">
      <c r="B15" s="15" t="s">
        <v>39</v>
      </c>
      <c r="C15" s="15" t="s">
        <v>40</v>
      </c>
      <c r="D15" s="15" t="s">
        <v>68</v>
      </c>
      <c r="E15" s="15" t="s">
        <v>72</v>
      </c>
    </row>
    <row r="16" spans="1:5" ht="15.75" thickBot="1" x14ac:dyDescent="0.3">
      <c r="B16" s="9" t="s">
        <v>50</v>
      </c>
      <c r="C16" s="9" t="s">
        <v>51</v>
      </c>
      <c r="D16" s="9">
        <v>10000</v>
      </c>
      <c r="E16" s="9">
        <v>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B3F9-B1A6-4F3B-AF19-A9461EB0194F}">
  <dimension ref="A1:J15"/>
  <sheetViews>
    <sheetView showGridLines="0" zoomScale="140" zoomScaleNormal="140" workbookViewId="0">
      <selection activeCell="L12" sqref="L12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6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8" t="s">
        <v>73</v>
      </c>
    </row>
    <row r="2" spans="1:10" x14ac:dyDescent="0.25">
      <c r="A2" s="8" t="s">
        <v>27</v>
      </c>
    </row>
    <row r="3" spans="1:10" x14ac:dyDescent="0.25">
      <c r="A3" s="8" t="s">
        <v>74</v>
      </c>
    </row>
    <row r="5" spans="1:10" ht="15.75" thickBot="1" x14ac:dyDescent="0.3"/>
    <row r="6" spans="1:10" x14ac:dyDescent="0.25">
      <c r="B6" s="14"/>
      <c r="C6" s="14" t="s">
        <v>75</v>
      </c>
      <c r="D6" s="14"/>
    </row>
    <row r="7" spans="1:10" ht="15.75" thickBot="1" x14ac:dyDescent="0.3">
      <c r="B7" s="15" t="s">
        <v>39</v>
      </c>
      <c r="C7" s="15" t="s">
        <v>40</v>
      </c>
      <c r="D7" s="15" t="s">
        <v>68</v>
      </c>
    </row>
    <row r="8" spans="1:10" ht="15.75" thickBot="1" x14ac:dyDescent="0.3">
      <c r="B8" s="9" t="s">
        <v>50</v>
      </c>
      <c r="C8" s="9" t="s">
        <v>51</v>
      </c>
      <c r="D8" s="12">
        <v>10000</v>
      </c>
    </row>
    <row r="10" spans="1:10" ht="15.75" thickBot="1" x14ac:dyDescent="0.3"/>
    <row r="11" spans="1:10" x14ac:dyDescent="0.25">
      <c r="B11" s="14"/>
      <c r="C11" s="14" t="s">
        <v>76</v>
      </c>
      <c r="D11" s="14"/>
      <c r="F11" s="14" t="s">
        <v>77</v>
      </c>
      <c r="G11" s="14" t="s">
        <v>75</v>
      </c>
      <c r="I11" s="14" t="s">
        <v>79</v>
      </c>
      <c r="J11" s="14" t="s">
        <v>75</v>
      </c>
    </row>
    <row r="12" spans="1:10" ht="15.75" thickBot="1" x14ac:dyDescent="0.3">
      <c r="B12" s="15" t="s">
        <v>39</v>
      </c>
      <c r="C12" s="15" t="s">
        <v>40</v>
      </c>
      <c r="D12" s="15" t="s">
        <v>68</v>
      </c>
      <c r="F12" s="15" t="s">
        <v>18</v>
      </c>
      <c r="G12" s="15" t="s">
        <v>78</v>
      </c>
      <c r="I12" s="15" t="s">
        <v>18</v>
      </c>
      <c r="J12" s="15" t="s">
        <v>78</v>
      </c>
    </row>
    <row r="13" spans="1:10" x14ac:dyDescent="0.25">
      <c r="B13" s="11" t="s">
        <v>52</v>
      </c>
      <c r="C13" s="11" t="s">
        <v>53</v>
      </c>
      <c r="D13" s="13">
        <v>400</v>
      </c>
      <c r="F13" s="13">
        <v>0</v>
      </c>
      <c r="G13" s="13">
        <v>9600</v>
      </c>
      <c r="I13" s="13">
        <v>400</v>
      </c>
      <c r="J13" s="13">
        <v>10000</v>
      </c>
    </row>
    <row r="14" spans="1:10" x14ac:dyDescent="0.25">
      <c r="B14" s="11" t="s">
        <v>55</v>
      </c>
      <c r="C14" s="11" t="s">
        <v>56</v>
      </c>
      <c r="D14" s="13">
        <v>9500</v>
      </c>
      <c r="F14" s="13">
        <v>200</v>
      </c>
      <c r="G14" s="13">
        <v>700</v>
      </c>
      <c r="I14" s="11" t="s">
        <v>80</v>
      </c>
      <c r="J14" s="11" t="s">
        <v>80</v>
      </c>
    </row>
    <row r="15" spans="1:10" ht="15.75" thickBot="1" x14ac:dyDescent="0.3">
      <c r="B15" s="9" t="s">
        <v>57</v>
      </c>
      <c r="C15" s="9" t="s">
        <v>58</v>
      </c>
      <c r="D15" s="12">
        <v>100</v>
      </c>
      <c r="F15" s="12">
        <v>0</v>
      </c>
      <c r="G15" s="12">
        <v>9900</v>
      </c>
      <c r="I15" s="12">
        <v>100</v>
      </c>
      <c r="J15" s="12">
        <v>10000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Exercício A</vt:lpstr>
      <vt:lpstr>Relatório de Respostas A</vt:lpstr>
      <vt:lpstr>Relatório de Respostas 1</vt:lpstr>
      <vt:lpstr>Relatório de Sensibilidade 1</vt:lpstr>
      <vt:lpstr>Relatório de Limites 1</vt:lpstr>
      <vt:lpstr>Exercício B</vt:lpstr>
      <vt:lpstr>Relatório de Respostas B</vt:lpstr>
      <vt:lpstr>Relatório de Sensibilidade B</vt:lpstr>
      <vt:lpstr>Relatório de Limites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Henrique Vidal Araújo</dc:creator>
  <cp:lastModifiedBy>WILCK GOMES DE OLIVEIRA</cp:lastModifiedBy>
  <dcterms:created xsi:type="dcterms:W3CDTF">2015-06-05T18:19:34Z</dcterms:created>
  <dcterms:modified xsi:type="dcterms:W3CDTF">2026-04-01T23:13:46Z</dcterms:modified>
</cp:coreProperties>
</file>