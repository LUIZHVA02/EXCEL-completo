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wilck.alunos\Desktop\EXCEL-completo\Avancado\"/>
    </mc:Choice>
  </mc:AlternateContent>
  <xr:revisionPtr revIDLastSave="0" documentId="13_ncr:1_{B8CA9AC7-9ECC-4360-B17D-E90EAB24F072}" xr6:coauthVersionLast="36" xr6:coauthVersionMax="36" xr10:uidLastSave="{00000000-0000-0000-0000-000000000000}"/>
  <bookViews>
    <workbookView xWindow="0" yWindow="0" windowWidth="22260" windowHeight="12645" activeTab="2" xr2:uid="{00000000-000D-0000-FFFF-FFFF00000000}"/>
  </bookViews>
  <sheets>
    <sheet name="Funções de data 1" sheetId="1" r:id="rId1"/>
    <sheet name="Funções de data 2" sheetId="2" r:id="rId2"/>
    <sheet name="Funções de hora" sheetId="3" r:id="rId3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3" l="1"/>
  <c r="B4" i="3"/>
  <c r="B3" i="3"/>
  <c r="B6" i="3"/>
  <c r="B1" i="3"/>
  <c r="E10" i="2"/>
  <c r="F4" i="1"/>
  <c r="F5" i="1"/>
  <c r="F6" i="1"/>
  <c r="F7" i="1"/>
  <c r="F8" i="1"/>
  <c r="F3" i="1"/>
  <c r="G6" i="1"/>
  <c r="G3" i="1"/>
  <c r="E8" i="2"/>
  <c r="B4" i="2"/>
  <c r="C4" i="2" s="1"/>
  <c r="B5" i="2"/>
  <c r="D4" i="2" l="1"/>
  <c r="B3" i="2"/>
  <c r="E9" i="2" s="1"/>
  <c r="G4" i="1"/>
  <c r="G5" i="1"/>
  <c r="G7" i="1"/>
  <c r="G8" i="1"/>
  <c r="D4" i="1"/>
  <c r="E4" i="1"/>
  <c r="D5" i="1"/>
  <c r="E5" i="1"/>
  <c r="D6" i="1"/>
  <c r="E6" i="1"/>
  <c r="D7" i="1"/>
  <c r="E7" i="1"/>
  <c r="D8" i="1"/>
  <c r="E8" i="1"/>
  <c r="E3" i="1"/>
  <c r="D3" i="1"/>
  <c r="C4" i="1"/>
  <c r="C5" i="1"/>
  <c r="C6" i="1"/>
  <c r="C7" i="1"/>
  <c r="C8" i="1"/>
  <c r="C3" i="1"/>
  <c r="B8" i="2" l="1"/>
  <c r="B7" i="2"/>
  <c r="C3" i="2"/>
  <c r="B9" i="2"/>
</calcChain>
</file>

<file path=xl/sharedStrings.xml><?xml version="1.0" encoding="utf-8"?>
<sst xmlns="http://schemas.openxmlformats.org/spreadsheetml/2006/main" count="30" uniqueCount="30">
  <si>
    <t>Amália</t>
  </si>
  <si>
    <t>Bruno</t>
  </si>
  <si>
    <t>Duarte</t>
  </si>
  <si>
    <t>Eduardo</t>
  </si>
  <si>
    <t>Roberta</t>
  </si>
  <si>
    <t>Rodrigo</t>
  </si>
  <si>
    <t>FUNÇÕES DE DATA</t>
  </si>
  <si>
    <t>NOME</t>
  </si>
  <si>
    <t>DATA DE NASCIMENTO</t>
  </si>
  <si>
    <t>ANO</t>
  </si>
  <si>
    <t>MÊS</t>
  </si>
  <si>
    <t>DIA</t>
  </si>
  <si>
    <t>IDADE</t>
  </si>
  <si>
    <t>Nº DE DIAS VIVIDOS</t>
  </si>
  <si>
    <t>Funções de data e hora</t>
  </si>
  <si>
    <t>Hoje</t>
  </si>
  <si>
    <t>Agora</t>
  </si>
  <si>
    <t>Data completa</t>
  </si>
  <si>
    <t>Dia</t>
  </si>
  <si>
    <t>Mês</t>
  </si>
  <si>
    <t>Ano</t>
  </si>
  <si>
    <t>Meu nascimento</t>
  </si>
  <si>
    <t>Dias vividos</t>
  </si>
  <si>
    <t>Meses Vividos</t>
  </si>
  <si>
    <t>Anos vividos</t>
  </si>
  <si>
    <t>Exemplo</t>
  </si>
  <si>
    <t>Hora</t>
  </si>
  <si>
    <t>Minto</t>
  </si>
  <si>
    <t>Segundo</t>
  </si>
  <si>
    <t>Tempo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</si>
</sst>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70" formatCode="[$-416]mmmm&quot;-&quot;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22" fontId="0" fillId="0" borderId="1" xfId="0" applyNumberForma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18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2" borderId="1" xfId="0" applyFill="1" applyBorder="1"/>
    <xf numFmtId="14" fontId="0" fillId="0" borderId="1" xfId="0" applyNumberFormat="1" applyBorder="1"/>
    <xf numFmtId="0" fontId="1" fillId="2" borderId="1" xfId="0" applyFont="1" applyFill="1" applyBorder="1"/>
    <xf numFmtId="0" fontId="1" fillId="0" borderId="1" xfId="0" applyFont="1" applyBorder="1"/>
    <xf numFmtId="0" fontId="1" fillId="0" borderId="0" xfId="0" applyFont="1"/>
    <xf numFmtId="21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workbookViewId="0">
      <selection activeCell="F3" sqref="F3:F8"/>
    </sheetView>
  </sheetViews>
  <sheetFormatPr defaultRowHeight="15" x14ac:dyDescent="0.25"/>
  <cols>
    <col min="2" max="2" width="21.42578125" bestFit="1" customWidth="1"/>
    <col min="6" max="6" width="18.85546875" customWidth="1"/>
    <col min="7" max="7" width="18.7109375" bestFit="1" customWidth="1"/>
  </cols>
  <sheetData>
    <row r="1" spans="1:7" x14ac:dyDescent="0.25">
      <c r="A1" s="6" t="s">
        <v>6</v>
      </c>
      <c r="B1" s="6"/>
      <c r="C1" s="6"/>
      <c r="D1" s="6"/>
      <c r="E1" s="6"/>
      <c r="F1" s="6"/>
      <c r="G1" s="6"/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1" t="s">
        <v>0</v>
      </c>
      <c r="B3" s="3">
        <v>23525</v>
      </c>
      <c r="C3" s="4">
        <f>YEAR(B3)</f>
        <v>1964</v>
      </c>
      <c r="D3" s="4">
        <f>MONTH(B3)</f>
        <v>5</v>
      </c>
      <c r="E3" s="4">
        <f>DAY(B3)</f>
        <v>28</v>
      </c>
      <c r="F3" s="5">
        <f ca="1">TRUNC((TODAY()-B3)/365.25,0)</f>
        <v>61</v>
      </c>
      <c r="G3" s="5">
        <f ca="1">TODAY()-B3</f>
        <v>22567</v>
      </c>
    </row>
    <row r="4" spans="1:7" x14ac:dyDescent="0.25">
      <c r="A4" s="1" t="s">
        <v>1</v>
      </c>
      <c r="B4" s="3">
        <v>30647</v>
      </c>
      <c r="C4" s="4">
        <f t="shared" ref="C4:C8" si="0">YEAR(B4)</f>
        <v>1983</v>
      </c>
      <c r="D4" s="4">
        <f t="shared" ref="D4:D8" si="1">MONTH(B4)</f>
        <v>11</v>
      </c>
      <c r="E4" s="4">
        <f t="shared" ref="E4:E8" si="2">DAY(B4)</f>
        <v>27</v>
      </c>
      <c r="F4" s="5">
        <f t="shared" ref="F4:F8" ca="1" si="3">TRUNC((TODAY()-B4)/365.25,0)</f>
        <v>42</v>
      </c>
      <c r="G4" s="5">
        <f t="shared" ref="G4:G8" ca="1" si="4">TODAY()-B4</f>
        <v>15445</v>
      </c>
    </row>
    <row r="5" spans="1:7" x14ac:dyDescent="0.25">
      <c r="A5" s="1" t="s">
        <v>2</v>
      </c>
      <c r="B5" s="3">
        <v>25727</v>
      </c>
      <c r="C5" s="4">
        <f t="shared" si="0"/>
        <v>1970</v>
      </c>
      <c r="D5" s="4">
        <f t="shared" si="1"/>
        <v>6</v>
      </c>
      <c r="E5" s="4">
        <f t="shared" si="2"/>
        <v>8</v>
      </c>
      <c r="F5" s="5">
        <f t="shared" ca="1" si="3"/>
        <v>55</v>
      </c>
      <c r="G5" s="5">
        <f t="shared" ca="1" si="4"/>
        <v>20365</v>
      </c>
    </row>
    <row r="6" spans="1:7" x14ac:dyDescent="0.25">
      <c r="A6" s="1" t="s">
        <v>3</v>
      </c>
      <c r="B6" s="3">
        <v>41011</v>
      </c>
      <c r="C6" s="4">
        <f t="shared" si="0"/>
        <v>2012</v>
      </c>
      <c r="D6" s="4">
        <f t="shared" si="1"/>
        <v>4</v>
      </c>
      <c r="E6" s="4">
        <f t="shared" si="2"/>
        <v>12</v>
      </c>
      <c r="F6" s="5">
        <f t="shared" ca="1" si="3"/>
        <v>13</v>
      </c>
      <c r="G6" s="5">
        <f ca="1">TODAY()-B6</f>
        <v>5081</v>
      </c>
    </row>
    <row r="7" spans="1:7" x14ac:dyDescent="0.25">
      <c r="A7" s="1" t="s">
        <v>4</v>
      </c>
      <c r="B7" s="3">
        <v>42617</v>
      </c>
      <c r="C7" s="4">
        <f t="shared" si="0"/>
        <v>2016</v>
      </c>
      <c r="D7" s="4">
        <f t="shared" si="1"/>
        <v>9</v>
      </c>
      <c r="E7" s="4">
        <f t="shared" si="2"/>
        <v>4</v>
      </c>
      <c r="F7" s="5">
        <f t="shared" ca="1" si="3"/>
        <v>9</v>
      </c>
      <c r="G7" s="5">
        <f t="shared" ca="1" si="4"/>
        <v>3475</v>
      </c>
    </row>
    <row r="8" spans="1:7" x14ac:dyDescent="0.25">
      <c r="A8" s="1" t="s">
        <v>5</v>
      </c>
      <c r="B8" s="3">
        <v>27264</v>
      </c>
      <c r="C8" s="4">
        <f t="shared" si="0"/>
        <v>1974</v>
      </c>
      <c r="D8" s="4">
        <f t="shared" si="1"/>
        <v>8</v>
      </c>
      <c r="E8" s="4">
        <f t="shared" si="2"/>
        <v>23</v>
      </c>
      <c r="F8" s="5">
        <f t="shared" ca="1" si="3"/>
        <v>51</v>
      </c>
      <c r="G8" s="5">
        <f t="shared" ca="1" si="4"/>
        <v>18828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FC884-D6D9-4513-800E-0A9DA5576FE5}">
  <dimension ref="A1:F10"/>
  <sheetViews>
    <sheetView workbookViewId="0">
      <selection activeCell="E9" sqref="E9"/>
    </sheetView>
  </sheetViews>
  <sheetFormatPr defaultRowHeight="15" x14ac:dyDescent="0.25"/>
  <cols>
    <col min="1" max="1" width="13.85546875" bestFit="1" customWidth="1"/>
    <col min="2" max="2" width="15.85546875" bestFit="1" customWidth="1"/>
    <col min="3" max="3" width="16.85546875" customWidth="1"/>
    <col min="4" max="4" width="15.85546875" bestFit="1" customWidth="1"/>
    <col min="5" max="5" width="10.7109375" bestFit="1" customWidth="1"/>
  </cols>
  <sheetData>
    <row r="1" spans="1:6" x14ac:dyDescent="0.25">
      <c r="A1" s="7" t="s">
        <v>14</v>
      </c>
      <c r="B1" s="8"/>
      <c r="C1" s="8"/>
      <c r="D1" s="8"/>
    </row>
    <row r="3" spans="1:6" x14ac:dyDescent="0.25">
      <c r="A3" s="1" t="s">
        <v>15</v>
      </c>
      <c r="B3" s="3">
        <f ca="1">TODAY()</f>
        <v>46092</v>
      </c>
      <c r="C3" s="11">
        <f ca="1">DATE(YEAR(B3),MONTH(B3),DAY(B3))</f>
        <v>46092</v>
      </c>
      <c r="D3" s="9"/>
    </row>
    <row r="4" spans="1:6" x14ac:dyDescent="0.25">
      <c r="A4" s="1" t="s">
        <v>16</v>
      </c>
      <c r="B4" s="12">
        <f ca="1">NOW()</f>
        <v>46092.841347106485</v>
      </c>
      <c r="C4" s="13">
        <f ca="1">TIME(HOUR(B4),MINUTE(B4),SECOND(B4))</f>
        <v>0.8413425925925927</v>
      </c>
      <c r="D4" s="14">
        <f ca="1">TIME(HOUR(B4),MINUTE(B4),SECOND(B4))</f>
        <v>0.8413425925925927</v>
      </c>
      <c r="F4" s="10"/>
    </row>
    <row r="5" spans="1:6" x14ac:dyDescent="0.25">
      <c r="A5" s="1" t="s">
        <v>17</v>
      </c>
      <c r="B5" s="15">
        <f ca="1">TODAY()</f>
        <v>46092</v>
      </c>
      <c r="C5" s="15"/>
      <c r="D5" s="15"/>
    </row>
    <row r="7" spans="1:6" x14ac:dyDescent="0.25">
      <c r="A7" s="16" t="s">
        <v>18</v>
      </c>
      <c r="B7" s="4">
        <f ca="1">DAY(B3)</f>
        <v>11</v>
      </c>
      <c r="D7" s="16" t="s">
        <v>21</v>
      </c>
      <c r="E7" s="17">
        <v>38965</v>
      </c>
    </row>
    <row r="8" spans="1:6" x14ac:dyDescent="0.25">
      <c r="A8" s="16" t="s">
        <v>19</v>
      </c>
      <c r="B8" s="4">
        <f ca="1">MONTH(B3)</f>
        <v>3</v>
      </c>
      <c r="D8" s="16" t="s">
        <v>22</v>
      </c>
      <c r="E8" s="5">
        <f ca="1">_xlfn.DAYS(NOW(),E7)</f>
        <v>7127</v>
      </c>
    </row>
    <row r="9" spans="1:6" x14ac:dyDescent="0.25">
      <c r="A9" s="16" t="s">
        <v>20</v>
      </c>
      <c r="B9" s="4">
        <f ca="1">YEAR(B3)</f>
        <v>2026</v>
      </c>
      <c r="D9" s="16" t="s">
        <v>23</v>
      </c>
      <c r="E9" s="4">
        <f ca="1" xml:space="preserve"> (YEAR(B3) - YEAR(E7)) * 12 + MONTH(B3) - MONTH(E7)</f>
        <v>234</v>
      </c>
    </row>
    <row r="10" spans="1:6" x14ac:dyDescent="0.25">
      <c r="D10" s="16" t="s">
        <v>24</v>
      </c>
      <c r="E10" s="4">
        <f ca="1">TRUNC((TODAY()-E7)/365.25,0)</f>
        <v>19</v>
      </c>
    </row>
  </sheetData>
  <mergeCells count="2">
    <mergeCell ref="A1:D1"/>
    <mergeCell ref="B5:D5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B4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DC447-FA2C-4B58-B3E9-F7C37B1141E6}">
  <dimension ref="A1:F12"/>
  <sheetViews>
    <sheetView tabSelected="1" workbookViewId="0">
      <selection activeCell="A8" sqref="A8"/>
    </sheetView>
  </sheetViews>
  <sheetFormatPr defaultRowHeight="15" x14ac:dyDescent="0.25"/>
  <cols>
    <col min="2" max="2" width="8.140625" bestFit="1" customWidth="1"/>
  </cols>
  <sheetData>
    <row r="1" spans="1:6" x14ac:dyDescent="0.25">
      <c r="A1" s="19" t="s">
        <v>25</v>
      </c>
      <c r="B1" s="21">
        <f ca="1">TIME(HOUR(NOW()),MINUTE(NOW()),SECOND(NOW()))</f>
        <v>0.8413425925925927</v>
      </c>
    </row>
    <row r="2" spans="1:6" x14ac:dyDescent="0.25">
      <c r="A2" s="20"/>
    </row>
    <row r="3" spans="1:6" x14ac:dyDescent="0.25">
      <c r="A3" s="19" t="s">
        <v>26</v>
      </c>
      <c r="B3" s="4">
        <f ca="1">HOUR(NOW())</f>
        <v>20</v>
      </c>
    </row>
    <row r="4" spans="1:6" x14ac:dyDescent="0.25">
      <c r="A4" s="19" t="s">
        <v>27</v>
      </c>
      <c r="B4" s="4">
        <f ca="1">MINUTE(NOW())</f>
        <v>11</v>
      </c>
    </row>
    <row r="5" spans="1:6" x14ac:dyDescent="0.25">
      <c r="A5" s="19" t="s">
        <v>28</v>
      </c>
      <c r="B5" s="4">
        <f ca="1">SECOND(NOW())</f>
        <v>32</v>
      </c>
    </row>
    <row r="6" spans="1:6" x14ac:dyDescent="0.25">
      <c r="A6" s="19" t="s">
        <v>29</v>
      </c>
      <c r="B6" s="21">
        <f ca="1">TIME(HOUR(NOW()),MINUTE(NOW()),SECOND(NOW()))</f>
        <v>0.8413425925925927</v>
      </c>
    </row>
    <row r="7" spans="1:6" x14ac:dyDescent="0.25">
      <c r="A7" s="20"/>
    </row>
    <row r="8" spans="1:6" x14ac:dyDescent="0.25">
      <c r="A8" s="18"/>
      <c r="B8" s="18"/>
      <c r="C8" s="18"/>
      <c r="D8" s="18"/>
      <c r="E8" s="18"/>
      <c r="F8" s="18"/>
    </row>
    <row r="9" spans="1:6" x14ac:dyDescent="0.25">
      <c r="A9" s="19"/>
      <c r="B9" s="1"/>
      <c r="C9" s="1"/>
      <c r="D9" s="1"/>
      <c r="E9" s="1"/>
      <c r="F9" s="1"/>
    </row>
    <row r="10" spans="1:6" x14ac:dyDescent="0.25">
      <c r="A10" s="19"/>
      <c r="B10" s="1"/>
      <c r="C10" s="1"/>
      <c r="D10" s="1"/>
      <c r="E10" s="1"/>
      <c r="F10" s="1"/>
    </row>
    <row r="11" spans="1:6" x14ac:dyDescent="0.25">
      <c r="A11" s="19"/>
      <c r="B11" s="1"/>
      <c r="C11" s="1"/>
      <c r="D11" s="1"/>
      <c r="E11" s="1"/>
      <c r="F11" s="1"/>
    </row>
    <row r="12" spans="1:6" x14ac:dyDescent="0.25">
      <c r="A12" s="19"/>
      <c r="B12" s="1"/>
      <c r="C12" s="1"/>
      <c r="D12" s="1"/>
      <c r="E12" s="1"/>
      <c r="F12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Funções de data 1</vt:lpstr>
      <vt:lpstr>Funções de data 2</vt:lpstr>
      <vt:lpstr>Funções de hora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Henrique Vidal Araújo</dc:creator>
  <cp:lastModifiedBy>WILCK GOMES DE OLIVEIRA</cp:lastModifiedBy>
  <dcterms:created xsi:type="dcterms:W3CDTF">2015-06-05T18:19:34Z</dcterms:created>
  <dcterms:modified xsi:type="dcterms:W3CDTF">2026-03-11T23:11:43Z</dcterms:modified>
</cp:coreProperties>
</file>