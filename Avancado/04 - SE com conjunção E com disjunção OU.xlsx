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izh\Excel completo SENAI\Avançado\"/>
    </mc:Choice>
  </mc:AlternateContent>
  <xr:revisionPtr revIDLastSave="0" documentId="13_ncr:1_{FA44CB0E-451A-4919-B7C5-429286DD8D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4-SE com conjunção e disjunçã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4" i="1"/>
  <c r="D5" i="1"/>
  <c r="D6" i="1"/>
  <c r="D7" i="1"/>
  <c r="D8" i="1"/>
  <c r="D9" i="1"/>
  <c r="D10" i="1"/>
  <c r="D11" i="1"/>
  <c r="D12" i="1"/>
  <c r="D13" i="1"/>
  <c r="D4" i="1"/>
</calcChain>
</file>

<file path=xl/sharedStrings.xml><?xml version="1.0" encoding="utf-8"?>
<sst xmlns="http://schemas.openxmlformats.org/spreadsheetml/2006/main" count="51" uniqueCount="35">
  <si>
    <t>Concessionária de Veículos</t>
  </si>
  <si>
    <t>Levantamento</t>
  </si>
  <si>
    <t>Financiamento</t>
  </si>
  <si>
    <t>Veículo</t>
  </si>
  <si>
    <t>Estado de Conservação</t>
  </si>
  <si>
    <t>Ano</t>
  </si>
  <si>
    <t>Comprar (Sim/Não)</t>
  </si>
  <si>
    <t>Nome</t>
  </si>
  <si>
    <t>Renda</t>
  </si>
  <si>
    <t>Situação Cadastral</t>
  </si>
  <si>
    <t>Concedido (Sim/Não)</t>
  </si>
  <si>
    <t>Accord</t>
  </si>
  <si>
    <t>Astra hatch</t>
  </si>
  <si>
    <t>Celta LS</t>
  </si>
  <si>
    <t>Cobalt</t>
  </si>
  <si>
    <t>Fiat Siena</t>
  </si>
  <si>
    <t>Honda Civic</t>
  </si>
  <si>
    <t>Uno Mille</t>
  </si>
  <si>
    <t>Hyundai Elantra</t>
  </si>
  <si>
    <t>Hyundai HB20</t>
  </si>
  <si>
    <t>Hyundai i30</t>
  </si>
  <si>
    <t>Bom</t>
  </si>
  <si>
    <t>Ruim</t>
  </si>
  <si>
    <t>Amanda</t>
  </si>
  <si>
    <t>Beatriz</t>
  </si>
  <si>
    <t>Carlos</t>
  </si>
  <si>
    <t>Cláudio</t>
  </si>
  <si>
    <t>Denis</t>
  </si>
  <si>
    <t>Franciele</t>
  </si>
  <si>
    <t>José</t>
  </si>
  <si>
    <t>Maurício</t>
  </si>
  <si>
    <t>Mauro</t>
  </si>
  <si>
    <t>Teresa</t>
  </si>
  <si>
    <t>Ok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</si>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</sst>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30" zoomScaleNormal="130" workbookViewId="0">
      <selection activeCell="I5" sqref="I5"/>
    </sheetView>
  </sheetViews>
  <sheetFormatPr defaultColWidth="18.33203125" defaultRowHeight="14.4" x14ac:dyDescent="0.3"/>
  <cols>
    <col min="5" max="5" width="2.6640625" customWidth="1"/>
  </cols>
  <sheetData>
    <row r="1" spans="1:9" ht="18" x14ac:dyDescent="0.3">
      <c r="A1" s="5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2" t="s">
        <v>1</v>
      </c>
      <c r="B2" s="2"/>
      <c r="C2" s="2"/>
      <c r="D2" s="2"/>
      <c r="F2" s="3" t="s">
        <v>2</v>
      </c>
      <c r="G2" s="4"/>
      <c r="H2" s="4"/>
      <c r="I2" s="4"/>
    </row>
    <row r="3" spans="1:9" ht="28.8" x14ac:dyDescent="0.3">
      <c r="A3" s="6" t="s">
        <v>3</v>
      </c>
      <c r="B3" s="6" t="s">
        <v>4</v>
      </c>
      <c r="C3" s="6" t="s">
        <v>5</v>
      </c>
      <c r="D3" s="6" t="s">
        <v>6</v>
      </c>
      <c r="E3" s="7"/>
      <c r="F3" s="6" t="s">
        <v>7</v>
      </c>
      <c r="G3" s="6" t="s">
        <v>8</v>
      </c>
      <c r="H3" s="6" t="s">
        <v>9</v>
      </c>
      <c r="I3" s="6" t="s">
        <v>10</v>
      </c>
    </row>
    <row r="4" spans="1:9" x14ac:dyDescent="0.3">
      <c r="A4" s="9" t="s">
        <v>11</v>
      </c>
      <c r="B4" s="8" t="s">
        <v>21</v>
      </c>
      <c r="C4" s="8">
        <v>2013</v>
      </c>
      <c r="D4" s="8" t="str">
        <f>IF( OR(B4="Bom",C4&gt;=2015),"Sim","Não")</f>
        <v>Sim</v>
      </c>
      <c r="F4" s="1" t="s">
        <v>23</v>
      </c>
      <c r="G4" s="10">
        <v>2700</v>
      </c>
      <c r="H4" s="8" t="s">
        <v>33</v>
      </c>
      <c r="I4" s="8" t="str">
        <f>IF( AND(G4&gt;3500,H4="OK"),"Sim","Não")</f>
        <v>Não</v>
      </c>
    </row>
    <row r="5" spans="1:9" x14ac:dyDescent="0.3">
      <c r="A5" s="9" t="s">
        <v>12</v>
      </c>
      <c r="B5" s="8" t="s">
        <v>22</v>
      </c>
      <c r="C5" s="8">
        <v>2010</v>
      </c>
      <c r="D5" s="8" t="str">
        <f t="shared" ref="D5:D13" si="0">IF( OR(B5="Bom",C5&gt;=2015),"Sim","Não")</f>
        <v>Não</v>
      </c>
      <c r="F5" s="1" t="s">
        <v>24</v>
      </c>
      <c r="G5" s="10">
        <v>5100</v>
      </c>
      <c r="H5" s="8" t="s">
        <v>34</v>
      </c>
      <c r="I5" s="8" t="str">
        <f t="shared" ref="I5:I13" si="1">IF( AND(G5&gt;3500,H5="OK"),"Sim","Não")</f>
        <v>Não</v>
      </c>
    </row>
    <row r="6" spans="1:9" x14ac:dyDescent="0.3">
      <c r="A6" s="9" t="s">
        <v>13</v>
      </c>
      <c r="B6" s="8" t="s">
        <v>21</v>
      </c>
      <c r="C6" s="8">
        <v>2014</v>
      </c>
      <c r="D6" s="8" t="str">
        <f t="shared" si="0"/>
        <v>Sim</v>
      </c>
      <c r="F6" s="1" t="s">
        <v>25</v>
      </c>
      <c r="G6" s="10">
        <v>2150</v>
      </c>
      <c r="H6" s="8" t="s">
        <v>33</v>
      </c>
      <c r="I6" s="8" t="str">
        <f t="shared" si="1"/>
        <v>Não</v>
      </c>
    </row>
    <row r="7" spans="1:9" x14ac:dyDescent="0.3">
      <c r="A7" s="9" t="s">
        <v>14</v>
      </c>
      <c r="B7" s="8" t="s">
        <v>22</v>
      </c>
      <c r="C7" s="8">
        <v>2012</v>
      </c>
      <c r="D7" s="8" t="str">
        <f t="shared" si="0"/>
        <v>Não</v>
      </c>
      <c r="F7" s="1" t="s">
        <v>26</v>
      </c>
      <c r="G7" s="10">
        <v>3560</v>
      </c>
      <c r="H7" s="8" t="s">
        <v>33</v>
      </c>
      <c r="I7" s="8" t="str">
        <f t="shared" si="1"/>
        <v>Sim</v>
      </c>
    </row>
    <row r="8" spans="1:9" x14ac:dyDescent="0.3">
      <c r="A8" s="9" t="s">
        <v>15</v>
      </c>
      <c r="B8" s="8" t="s">
        <v>22</v>
      </c>
      <c r="C8" s="8">
        <v>2015</v>
      </c>
      <c r="D8" s="8" t="str">
        <f t="shared" si="0"/>
        <v>Sim</v>
      </c>
      <c r="F8" s="1" t="s">
        <v>27</v>
      </c>
      <c r="G8" s="10">
        <v>5750</v>
      </c>
      <c r="H8" s="8" t="s">
        <v>33</v>
      </c>
      <c r="I8" s="8" t="str">
        <f t="shared" si="1"/>
        <v>Sim</v>
      </c>
    </row>
    <row r="9" spans="1:9" x14ac:dyDescent="0.3">
      <c r="A9" s="9" t="s">
        <v>16</v>
      </c>
      <c r="B9" s="8" t="s">
        <v>21</v>
      </c>
      <c r="C9" s="8">
        <v>2018</v>
      </c>
      <c r="D9" s="8" t="str">
        <f t="shared" si="0"/>
        <v>Sim</v>
      </c>
      <c r="F9" s="1" t="s">
        <v>28</v>
      </c>
      <c r="G9" s="10">
        <v>4100</v>
      </c>
      <c r="H9" s="8" t="s">
        <v>34</v>
      </c>
      <c r="I9" s="8" t="str">
        <f t="shared" si="1"/>
        <v>Não</v>
      </c>
    </row>
    <row r="10" spans="1:9" x14ac:dyDescent="0.3">
      <c r="A10" s="9" t="s">
        <v>18</v>
      </c>
      <c r="B10" s="8" t="s">
        <v>21</v>
      </c>
      <c r="C10" s="8">
        <v>2012</v>
      </c>
      <c r="D10" s="8" t="str">
        <f t="shared" si="0"/>
        <v>Sim</v>
      </c>
      <c r="F10" s="1" t="s">
        <v>29</v>
      </c>
      <c r="G10" s="10">
        <v>5200</v>
      </c>
      <c r="H10" s="8" t="s">
        <v>33</v>
      </c>
      <c r="I10" s="8" t="str">
        <f t="shared" si="1"/>
        <v>Sim</v>
      </c>
    </row>
    <row r="11" spans="1:9" x14ac:dyDescent="0.3">
      <c r="A11" s="9" t="s">
        <v>19</v>
      </c>
      <c r="B11" s="8" t="s">
        <v>22</v>
      </c>
      <c r="C11" s="8">
        <v>2017</v>
      </c>
      <c r="D11" s="8" t="str">
        <f t="shared" si="0"/>
        <v>Sim</v>
      </c>
      <c r="F11" s="1" t="s">
        <v>30</v>
      </c>
      <c r="G11" s="10">
        <v>8100</v>
      </c>
      <c r="H11" s="8" t="s">
        <v>34</v>
      </c>
      <c r="I11" s="8" t="str">
        <f t="shared" si="1"/>
        <v>Não</v>
      </c>
    </row>
    <row r="12" spans="1:9" x14ac:dyDescent="0.3">
      <c r="A12" s="9" t="s">
        <v>20</v>
      </c>
      <c r="B12" s="8" t="s">
        <v>21</v>
      </c>
      <c r="C12" s="8">
        <v>2015</v>
      </c>
      <c r="D12" s="8" t="str">
        <f t="shared" si="0"/>
        <v>Sim</v>
      </c>
      <c r="F12" s="1" t="s">
        <v>31</v>
      </c>
      <c r="G12" s="10">
        <v>3400</v>
      </c>
      <c r="H12" s="8" t="s">
        <v>33</v>
      </c>
      <c r="I12" s="8" t="str">
        <f t="shared" si="1"/>
        <v>Não</v>
      </c>
    </row>
    <row r="13" spans="1:9" x14ac:dyDescent="0.3">
      <c r="A13" s="9" t="s">
        <v>17</v>
      </c>
      <c r="B13" s="8" t="s">
        <v>22</v>
      </c>
      <c r="C13" s="8">
        <v>2013</v>
      </c>
      <c r="D13" s="8" t="str">
        <f t="shared" si="0"/>
        <v>Não</v>
      </c>
      <c r="F13" s="1" t="s">
        <v>32</v>
      </c>
      <c r="G13" s="10">
        <v>2990</v>
      </c>
      <c r="H13" s="8" t="s">
        <v>33</v>
      </c>
      <c r="I13" s="8" t="str">
        <f t="shared" si="1"/>
        <v>Não</v>
      </c>
    </row>
  </sheetData>
  <mergeCells count="3">
    <mergeCell ref="A1:I1"/>
    <mergeCell ref="A2:D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04-SE com conjunção e disjunção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>Luiz Henrique Vidal Araújo</cp:lastModifiedBy>
  <dcterms:created xsi:type="dcterms:W3CDTF">2015-06-05T18:19:34Z</dcterms:created>
  <dcterms:modified xsi:type="dcterms:W3CDTF">2026-03-10T16:37:05Z</dcterms:modified>
</cp:coreProperties>
</file>