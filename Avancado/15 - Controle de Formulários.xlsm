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wilck.alunos\Desktop\EXCEL-completo\Avancado\"/>
    </mc:Choice>
  </mc:AlternateContent>
  <xr:revisionPtr revIDLastSave="0" documentId="8_{EDAEB14A-04C4-4D19-9D30-B4C923CF9A0B}" xr6:coauthVersionLast="36" xr6:coauthVersionMax="36" xr10:uidLastSave="{00000000-0000-0000-0000-000000000000}"/>
  <bookViews>
    <workbookView xWindow="0" yWindow="0" windowWidth="22260" windowHeight="12645" activeTab="2" xr2:uid="{00000000-000D-0000-FFFF-FFFF00000000}"/>
  </bookViews>
  <sheets>
    <sheet name="Aplicação" sheetId="1" r:id="rId1"/>
    <sheet name="Cadastro" sheetId="2" r:id="rId2"/>
    <sheet name="Dados" sheetId="3" r:id="rId3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2" l="1"/>
  <c r="C4" i="1"/>
  <c r="C8" i="1" s="1"/>
  <c r="C10" i="1" s="1"/>
</calcChain>
</file>

<file path=xl/sharedStrings.xml><?xml version="1.0" encoding="utf-8"?>
<sst xmlns="http://schemas.openxmlformats.org/spreadsheetml/2006/main" count="18" uniqueCount="18">
  <si>
    <t>Pagamento Mensal</t>
  </si>
  <si>
    <t>Taxa Mensal</t>
  </si>
  <si>
    <t>Período</t>
  </si>
  <si>
    <t>Valor Futuro</t>
  </si>
  <si>
    <t>Valor de Rendimento</t>
  </si>
  <si>
    <t>Nome:</t>
  </si>
  <si>
    <t>Idade:</t>
  </si>
  <si>
    <t>Gênero:</t>
  </si>
  <si>
    <t>Profissão</t>
  </si>
  <si>
    <t>Renda:</t>
  </si>
  <si>
    <t>Profissão:</t>
  </si>
  <si>
    <t>Luiz Henrique Vidal Araujo</t>
  </si>
  <si>
    <t>Técnico</t>
  </si>
  <si>
    <t>Nome</t>
  </si>
  <si>
    <t>Idade</t>
  </si>
  <si>
    <t>Gênero</t>
  </si>
  <si>
    <t>Renda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</si>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</sst>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9" formatCode="&quot;R$&quot;\ 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theme="0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9">
    <xf numFmtId="0" fontId="0" fillId="0" borderId="0" xfId="0"/>
    <xf numFmtId="0" fontId="0" fillId="2" borderId="1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2" xfId="0" applyFont="1" applyFill="1" applyBorder="1" applyAlignment="1"/>
    <xf numFmtId="0" fontId="2" fillId="2" borderId="0" xfId="0" applyFont="1" applyFill="1" applyBorder="1"/>
    <xf numFmtId="0" fontId="0" fillId="2" borderId="9" xfId="0" applyFill="1" applyBorder="1" applyAlignment="1">
      <alignment horizontal="center" vertical="center"/>
    </xf>
    <xf numFmtId="169" fontId="0" fillId="2" borderId="9" xfId="1" applyNumberFormat="1" applyFont="1" applyFill="1" applyBorder="1" applyAlignment="1">
      <alignment horizontal="center" vertical="center"/>
    </xf>
    <xf numFmtId="9" fontId="0" fillId="2" borderId="9" xfId="2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8" fontId="0" fillId="2" borderId="9" xfId="0" applyNumberFormat="1" applyFill="1" applyBorder="1" applyAlignment="1">
      <alignment horizontal="center" vertical="center"/>
    </xf>
    <xf numFmtId="169" fontId="0" fillId="2" borderId="9" xfId="0" applyNumberFormat="1" applyFill="1" applyBorder="1" applyAlignment="1">
      <alignment horizontal="center" vertical="center"/>
    </xf>
    <xf numFmtId="0" fontId="0" fillId="2" borderId="0" xfId="0" applyFill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4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22" fmlaLink="$C$2" horiz="1" inc="100" max="30000" min="100" page="1000" val="1100"/>
</file>

<file path=xl/ctrlProps/ctrlProp2.xml><?xml version="1.0" encoding="utf-8"?>
<formControlPr xmlns="http://schemas.microsoft.com/office/spreadsheetml/2009/9/main" objectType="Spin" dx="22" fmlaLink="$D$4" max="120" min="1" page="10" val="12"/>
</file>

<file path=xl/ctrlProps/ctrlProp3.xml><?xml version="1.0" encoding="utf-8"?>
<formControlPr xmlns="http://schemas.microsoft.com/office/spreadsheetml/2009/9/main" objectType="Scroll" dx="22" fmlaLink="$C$6" horiz="1" max="360" min="1" page="10" val="7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fmlaLink="$F$6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Spin" dx="22" fmlaLink="$H$2" max="30000" page="10" val="0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960504</xdr:colOff>
      <xdr:row>0</xdr:row>
      <xdr:rowOff>20211</xdr:rowOff>
    </xdr:from>
    <xdr:ext cx="2335191" cy="374141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E048A0B-F6BC-4ABF-99C9-0D102C6DA1DB}"/>
            </a:ext>
          </a:extLst>
        </xdr:cNvPr>
        <xdr:cNvSpPr txBox="1"/>
      </xdr:nvSpPr>
      <xdr:spPr>
        <a:xfrm>
          <a:off x="1151004" y="20211"/>
          <a:ext cx="2335191" cy="37414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  <a:scene3d>
            <a:camera prst="orthographicFront"/>
            <a:lightRig rig="threePt" dir="t">
              <a:rot lat="0" lon="0" rev="18600000"/>
            </a:lightRig>
          </a:scene3d>
          <a:sp3d extrusionH="450850">
            <a:bevelT w="38100" h="38100"/>
            <a:bevelB w="38100" h="38100"/>
          </a:sp3d>
        </a:bodyPr>
        <a:lstStyle/>
        <a:p>
          <a:r>
            <a:rPr lang="pt-BR" sz="1800" b="1">
              <a:ln w="6350" cap="flat">
                <a:noFill/>
                <a:bevel/>
              </a:ln>
              <a:pattFill prst="dkUpDiag">
                <a:fgClr>
                  <a:schemeClr val="tx1"/>
                </a:fgClr>
                <a:bgClr>
                  <a:schemeClr val="bg1"/>
                </a:bgClr>
              </a:pattFill>
            </a:rPr>
            <a:t>Aplicações Financeiras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5998</xdr:colOff>
          <xdr:row>2</xdr:row>
          <xdr:rowOff>16933</xdr:rowOff>
        </xdr:from>
        <xdr:to>
          <xdr:col>2</xdr:col>
          <xdr:colOff>1823862</xdr:colOff>
          <xdr:row>2</xdr:row>
          <xdr:rowOff>178858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F3CCE43-6AC5-42BA-BB27-997071B5A5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14464</xdr:colOff>
          <xdr:row>2</xdr:row>
          <xdr:rowOff>203553</xdr:rowOff>
        </xdr:from>
        <xdr:to>
          <xdr:col>3</xdr:col>
          <xdr:colOff>141110</xdr:colOff>
          <xdr:row>3</xdr:row>
          <xdr:rowOff>208137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7287C11-02A2-4288-B0D6-4250D2A4BF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10583</xdr:colOff>
          <xdr:row>6</xdr:row>
          <xdr:rowOff>21520</xdr:rowOff>
        </xdr:from>
        <xdr:to>
          <xdr:col>2</xdr:col>
          <xdr:colOff>1820333</xdr:colOff>
          <xdr:row>6</xdr:row>
          <xdr:rowOff>183445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9F984CA-D1D4-4FDA-8771-DBEFB250ED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95249</xdr:colOff>
          <xdr:row>4</xdr:row>
          <xdr:rowOff>149087</xdr:rowOff>
        </xdr:from>
        <xdr:to>
          <xdr:col>4</xdr:col>
          <xdr:colOff>447260</xdr:colOff>
          <xdr:row>6</xdr:row>
          <xdr:rowOff>103533</xdr:rowOff>
        </xdr:to>
        <xdr:sp macro="" textlink="">
          <xdr:nvSpPr>
            <xdr:cNvPr id="2049" name="Group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D433A27E-2AE1-4C5E-8F26-F940231351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Sexo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174763</xdr:colOff>
          <xdr:row>5</xdr:row>
          <xdr:rowOff>79512</xdr:rowOff>
        </xdr:from>
        <xdr:to>
          <xdr:col>3</xdr:col>
          <xdr:colOff>583924</xdr:colOff>
          <xdr:row>6</xdr:row>
          <xdr:rowOff>79512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2AA35B03-050D-4D35-AA53-708A452342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12424</xdr:colOff>
          <xdr:row>5</xdr:row>
          <xdr:rowOff>78685</xdr:rowOff>
        </xdr:from>
        <xdr:to>
          <xdr:col>4</xdr:col>
          <xdr:colOff>381000</xdr:colOff>
          <xdr:row>6</xdr:row>
          <xdr:rowOff>78685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540A49F1-4367-496D-8478-34087AC2F6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115956</xdr:colOff>
      <xdr:row>6</xdr:row>
      <xdr:rowOff>128380</xdr:rowOff>
    </xdr:from>
    <xdr:to>
      <xdr:col>4</xdr:col>
      <xdr:colOff>443119</xdr:colOff>
      <xdr:row>8</xdr:row>
      <xdr:rowOff>41412</xdr:rowOff>
    </xdr:to>
    <xdr:sp macro="[0]!Envi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9A957F4-C0BA-476D-90BC-3322C4E32FF1}"/>
            </a:ext>
          </a:extLst>
        </xdr:cNvPr>
        <xdr:cNvSpPr/>
      </xdr:nvSpPr>
      <xdr:spPr>
        <a:xfrm>
          <a:off x="3801717" y="1395619"/>
          <a:ext cx="935935" cy="335445"/>
        </a:xfrm>
        <a:prstGeom prst="roundRect">
          <a:avLst>
            <a:gd name="adj" fmla="val 19149"/>
          </a:avLst>
        </a:prstGeom>
        <a:solidFill>
          <a:schemeClr val="bg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Enviar</a:t>
          </a:r>
        </a:p>
        <a:p>
          <a:pPr algn="ctr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85725</xdr:rowOff>
        </xdr:from>
        <xdr:to>
          <xdr:col>6</xdr:col>
          <xdr:colOff>304800</xdr:colOff>
          <xdr:row>2</xdr:row>
          <xdr:rowOff>104775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AD646070-E557-4DD9-BF06-C42FF75D1D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D11"/>
  <sheetViews>
    <sheetView zoomScale="270" zoomScaleNormal="270" workbookViewId="0">
      <selection activeCell="D6" sqref="D6"/>
    </sheetView>
  </sheetViews>
  <sheetFormatPr defaultRowHeight="15" x14ac:dyDescent="0.25"/>
  <cols>
    <col min="1" max="1" width="2.85546875" customWidth="1"/>
    <col min="2" max="3" width="27.42578125" customWidth="1"/>
  </cols>
  <sheetData>
    <row r="1" spans="1:4" ht="30" customHeight="1" thickBot="1" x14ac:dyDescent="0.3">
      <c r="A1" s="1"/>
      <c r="B1" s="9"/>
      <c r="C1" s="9"/>
      <c r="D1" s="2"/>
    </row>
    <row r="2" spans="1:4" ht="16.5" thickTop="1" thickBot="1" x14ac:dyDescent="0.3">
      <c r="A2" s="3"/>
      <c r="B2" s="10" t="s">
        <v>0</v>
      </c>
      <c r="C2" s="12">
        <v>1100</v>
      </c>
      <c r="D2" s="5"/>
    </row>
    <row r="3" spans="1:4" ht="16.5" thickTop="1" thickBot="1" x14ac:dyDescent="0.3">
      <c r="A3" s="3"/>
      <c r="B3" s="4"/>
      <c r="C3" s="4"/>
      <c r="D3" s="5"/>
    </row>
    <row r="4" spans="1:4" ht="16.5" thickTop="1" thickBot="1" x14ac:dyDescent="0.3">
      <c r="A4" s="3"/>
      <c r="B4" s="10" t="s">
        <v>1</v>
      </c>
      <c r="C4" s="13">
        <f>D4/100</f>
        <v>0.12</v>
      </c>
      <c r="D4" s="14">
        <v>12</v>
      </c>
    </row>
    <row r="5" spans="1:4" ht="16.5" thickTop="1" thickBot="1" x14ac:dyDescent="0.3">
      <c r="A5" s="3"/>
      <c r="B5" s="4"/>
      <c r="C5" s="4"/>
      <c r="D5" s="5"/>
    </row>
    <row r="6" spans="1:4" ht="16.5" thickTop="1" thickBot="1" x14ac:dyDescent="0.3">
      <c r="A6" s="3"/>
      <c r="B6" s="10" t="s">
        <v>2</v>
      </c>
      <c r="C6" s="11">
        <v>7</v>
      </c>
      <c r="D6" s="5"/>
    </row>
    <row r="7" spans="1:4" ht="16.5" thickTop="1" thickBot="1" x14ac:dyDescent="0.3">
      <c r="A7" s="3"/>
      <c r="B7" s="4"/>
      <c r="C7" s="4"/>
      <c r="D7" s="5"/>
    </row>
    <row r="8" spans="1:4" ht="16.5" thickTop="1" thickBot="1" x14ac:dyDescent="0.3">
      <c r="A8" s="3"/>
      <c r="B8" s="10" t="s">
        <v>3</v>
      </c>
      <c r="C8" s="15">
        <f>FV(C4,C6,-C2,0,0)</f>
        <v>11097.912901222409</v>
      </c>
      <c r="D8" s="5"/>
    </row>
    <row r="9" spans="1:4" ht="16.5" thickTop="1" thickBot="1" x14ac:dyDescent="0.3">
      <c r="A9" s="3"/>
      <c r="B9" s="4"/>
      <c r="C9" s="4"/>
      <c r="D9" s="5"/>
    </row>
    <row r="10" spans="1:4" ht="16.5" thickTop="1" thickBot="1" x14ac:dyDescent="0.3">
      <c r="A10" s="3"/>
      <c r="B10" s="10" t="s">
        <v>4</v>
      </c>
      <c r="C10" s="16">
        <f>C8-(C2*C6)</f>
        <v>3397.9129012224093</v>
      </c>
      <c r="D10" s="5"/>
    </row>
    <row r="11" spans="1:4" ht="15.75" thickTop="1" x14ac:dyDescent="0.25">
      <c r="A11" s="6"/>
      <c r="B11" s="7"/>
      <c r="C11" s="7"/>
      <c r="D11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9525</xdr:colOff>
                    <xdr:row>2</xdr:row>
                    <xdr:rowOff>19050</xdr:rowOff>
                  </from>
                  <to>
                    <xdr:col>2</xdr:col>
                    <xdr:colOff>1819275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pinner 2">
              <controlPr defaultSize="0" autoPict="0">
                <anchor moveWithCells="1" sizeWithCells="1">
                  <from>
                    <xdr:col>3</xdr:col>
                    <xdr:colOff>19050</xdr:colOff>
                    <xdr:row>2</xdr:row>
                    <xdr:rowOff>200025</xdr:rowOff>
                  </from>
                  <to>
                    <xdr:col>3</xdr:col>
                    <xdr:colOff>142875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Scroll Bar 4">
              <controlPr defaultSiz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1819275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70762-C831-41CC-A23A-E19CECDB04CC}">
  <sheetPr codeName="Planilha2"/>
  <dimension ref="A1:F13"/>
  <sheetViews>
    <sheetView zoomScale="230" zoomScaleNormal="230" workbookViewId="0">
      <selection activeCell="C13" sqref="C13"/>
    </sheetView>
  </sheetViews>
  <sheetFormatPr defaultRowHeight="15" x14ac:dyDescent="0.25"/>
  <cols>
    <col min="2" max="2" width="9.7109375" bestFit="1" customWidth="1"/>
    <col min="3" max="3" width="36.42578125" customWidth="1"/>
  </cols>
  <sheetData>
    <row r="1" spans="1:6" ht="16.5" thickTop="1" thickBot="1" x14ac:dyDescent="0.3">
      <c r="A1" s="18"/>
      <c r="B1" s="19"/>
      <c r="C1" s="19"/>
      <c r="D1" s="19"/>
      <c r="E1" s="19"/>
      <c r="F1" s="20"/>
    </row>
    <row r="2" spans="1:6" ht="16.5" thickTop="1" thickBot="1" x14ac:dyDescent="0.3">
      <c r="A2" s="21"/>
      <c r="B2" s="4" t="s">
        <v>5</v>
      </c>
      <c r="C2" s="11" t="s">
        <v>11</v>
      </c>
      <c r="D2" s="4"/>
      <c r="E2" s="4"/>
      <c r="F2" s="22"/>
    </row>
    <row r="3" spans="1:6" ht="16.5" thickTop="1" thickBot="1" x14ac:dyDescent="0.3">
      <c r="A3" s="21"/>
      <c r="B3" s="17"/>
      <c r="C3" s="17"/>
      <c r="D3" s="4"/>
      <c r="E3" s="4"/>
      <c r="F3" s="22"/>
    </row>
    <row r="4" spans="1:6" ht="16.5" thickTop="1" thickBot="1" x14ac:dyDescent="0.3">
      <c r="A4" s="21"/>
      <c r="B4" s="4" t="s">
        <v>6</v>
      </c>
      <c r="C4" s="11">
        <v>19</v>
      </c>
      <c r="D4" s="4"/>
      <c r="E4" s="4"/>
      <c r="F4" s="22"/>
    </row>
    <row r="5" spans="1:6" ht="16.5" thickTop="1" thickBot="1" x14ac:dyDescent="0.3">
      <c r="A5" s="21"/>
      <c r="B5" s="17"/>
      <c r="C5" s="17"/>
      <c r="D5" s="4"/>
      <c r="E5" s="4"/>
      <c r="F5" s="22"/>
    </row>
    <row r="6" spans="1:6" ht="16.5" thickTop="1" thickBot="1" x14ac:dyDescent="0.3">
      <c r="A6" s="21"/>
      <c r="B6" s="4" t="s">
        <v>7</v>
      </c>
      <c r="C6" s="11" t="str">
        <f>IF(C2="","",IF(F6=1,"Masculino","Feminino"))</f>
        <v>Masculino</v>
      </c>
      <c r="D6" s="4"/>
      <c r="E6" s="4"/>
      <c r="F6" s="26">
        <v>1</v>
      </c>
    </row>
    <row r="7" spans="1:6" ht="16.5" thickTop="1" thickBot="1" x14ac:dyDescent="0.3">
      <c r="A7" s="21"/>
      <c r="B7" s="17"/>
      <c r="C7" s="17"/>
      <c r="D7" s="4"/>
      <c r="E7" s="4"/>
      <c r="F7" s="22"/>
    </row>
    <row r="8" spans="1:6" ht="16.5" thickTop="1" thickBot="1" x14ac:dyDescent="0.3">
      <c r="A8" s="21"/>
      <c r="B8" s="4" t="s">
        <v>10</v>
      </c>
      <c r="C8" s="11" t="s">
        <v>12</v>
      </c>
      <c r="D8" s="4"/>
      <c r="E8" s="4"/>
      <c r="F8" s="22"/>
    </row>
    <row r="9" spans="1:6" ht="16.5" thickTop="1" thickBot="1" x14ac:dyDescent="0.3">
      <c r="A9" s="21"/>
      <c r="B9" s="17"/>
      <c r="C9" s="17"/>
      <c r="D9" s="4"/>
      <c r="E9" s="4"/>
      <c r="F9" s="22"/>
    </row>
    <row r="10" spans="1:6" ht="16.5" thickTop="1" thickBot="1" x14ac:dyDescent="0.3">
      <c r="A10" s="21"/>
      <c r="B10" s="4" t="s">
        <v>9</v>
      </c>
      <c r="C10" s="12">
        <v>2000</v>
      </c>
      <c r="D10" s="4"/>
      <c r="E10" s="4"/>
      <c r="F10" s="22"/>
    </row>
    <row r="11" spans="1:6" ht="15.75" thickTop="1" x14ac:dyDescent="0.25">
      <c r="A11" s="21"/>
      <c r="B11" s="17"/>
      <c r="C11" s="17"/>
      <c r="D11" s="4"/>
      <c r="E11" s="4"/>
      <c r="F11" s="22"/>
    </row>
    <row r="12" spans="1:6" ht="15.75" thickBot="1" x14ac:dyDescent="0.3">
      <c r="A12" s="23"/>
      <c r="B12" s="24"/>
      <c r="C12" s="24"/>
      <c r="D12" s="24"/>
      <c r="E12" s="24"/>
      <c r="F12" s="25"/>
    </row>
    <row r="13" spans="1:6" ht="15.75" thickTop="1" x14ac:dyDescent="0.25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Group Box 1">
              <controlPr defaultSize="0" autoFill="0" autoPict="0">
                <anchor moveWithCells="1">
                  <from>
                    <xdr:col>3</xdr:col>
                    <xdr:colOff>95250</xdr:colOff>
                    <xdr:row>4</xdr:row>
                    <xdr:rowOff>152400</xdr:rowOff>
                  </from>
                  <to>
                    <xdr:col>4</xdr:col>
                    <xdr:colOff>447675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Option Button 6">
              <controlPr defaultSize="0" autoFill="0" autoLine="0" autoPict="0">
                <anchor moveWithCells="1">
                  <from>
                    <xdr:col>3</xdr:col>
                    <xdr:colOff>171450</xdr:colOff>
                    <xdr:row>5</xdr:row>
                    <xdr:rowOff>76200</xdr:rowOff>
                  </from>
                  <to>
                    <xdr:col>3</xdr:col>
                    <xdr:colOff>581025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Option Button 7">
              <controlPr defaultSize="0" autoFill="0" autoLine="0" autoPict="0">
                <anchor moveWithCells="1">
                  <from>
                    <xdr:col>4</xdr:col>
                    <xdr:colOff>9525</xdr:colOff>
                    <xdr:row>5</xdr:row>
                    <xdr:rowOff>76200</xdr:rowOff>
                  </from>
                  <to>
                    <xdr:col>4</xdr:col>
                    <xdr:colOff>381000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C7F98-EBD0-473E-BF7A-17630AB92799}">
  <dimension ref="A1:H2"/>
  <sheetViews>
    <sheetView tabSelected="1" workbookViewId="0">
      <selection activeCell="F7" sqref="F7"/>
    </sheetView>
  </sheetViews>
  <sheetFormatPr defaultColWidth="18.28515625" defaultRowHeight="15" x14ac:dyDescent="0.25"/>
  <cols>
    <col min="2" max="2" width="24.85546875" bestFit="1" customWidth="1"/>
    <col min="3" max="3" width="18.28515625" customWidth="1"/>
    <col min="4" max="4" width="20.42578125" customWidth="1"/>
    <col min="5" max="6" width="18.28515625" customWidth="1"/>
    <col min="7" max="7" width="5.7109375" customWidth="1"/>
    <col min="8" max="8" width="2.85546875" customWidth="1"/>
  </cols>
  <sheetData>
    <row r="1" spans="1:8" x14ac:dyDescent="0.25">
      <c r="A1" s="27" t="s">
        <v>17</v>
      </c>
      <c r="B1" s="27" t="s">
        <v>13</v>
      </c>
      <c r="C1" s="27" t="s">
        <v>14</v>
      </c>
      <c r="D1" s="27" t="s">
        <v>15</v>
      </c>
      <c r="E1" s="27" t="s">
        <v>8</v>
      </c>
      <c r="F1" s="27" t="s">
        <v>16</v>
      </c>
    </row>
    <row r="2" spans="1:8" x14ac:dyDescent="0.25">
      <c r="A2" s="28"/>
      <c r="B2" s="28"/>
      <c r="C2" s="28"/>
      <c r="D2" s="28"/>
      <c r="E2" s="28"/>
      <c r="F2" s="28"/>
      <c r="H2" s="28"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pinner 1">
              <controlPr defaultSize="0" autoPict="0">
                <anchor moveWithCells="1" sizeWithCells="1">
                  <from>
                    <xdr:col>6</xdr:col>
                    <xdr:colOff>66675</xdr:colOff>
                    <xdr:row>0</xdr:row>
                    <xdr:rowOff>85725</xdr:rowOff>
                  </from>
                  <to>
                    <xdr:col>6</xdr:col>
                    <xdr:colOff>304800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Aplicação</vt:lpstr>
      <vt:lpstr>Cadastro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Henrique Vidal Araújo</dc:creator>
  <cp:lastModifiedBy>WILCK GOMES DE OLIVEIRA</cp:lastModifiedBy>
  <dcterms:created xsi:type="dcterms:W3CDTF">2015-06-05T18:19:34Z</dcterms:created>
  <dcterms:modified xsi:type="dcterms:W3CDTF">2026-03-31T00:52:30Z</dcterms:modified>
</cp:coreProperties>
</file>