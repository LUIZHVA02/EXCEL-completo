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uizh\Excel completo SENAI\Avançado\"/>
    </mc:Choice>
  </mc:AlternateContent>
  <xr:revisionPtr revIDLastSave="0" documentId="13_ncr:1_{C8928FDF-AE99-4727-940E-C4C09180E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squisa" sheetId="1" r:id="rId1"/>
    <sheet name="Base de D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3" i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4" i="2"/>
</calcChain>
</file>

<file path=xl/sharedStrings.xml><?xml version="1.0" encoding="utf-8"?>
<sst xmlns="http://schemas.openxmlformats.org/spreadsheetml/2006/main" count="121" uniqueCount="44">
  <si>
    <t>Pesquisa</t>
  </si>
  <si>
    <t>Controle</t>
  </si>
  <si>
    <t>Vendedor</t>
  </si>
  <si>
    <t>Origem</t>
  </si>
  <si>
    <t>Cidade Destino</t>
  </si>
  <si>
    <t>Produto</t>
  </si>
  <si>
    <t>Subtotal</t>
  </si>
  <si>
    <t>Comissão em R$</t>
  </si>
  <si>
    <t>Data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</si>
  <si>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</si>
  <si>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</si>
  <si>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</si>
  <si>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</si>
  <si>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</si>
  <si>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</si>
  <si>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</si>
  <si>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</si>
  <si>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</si>
  <si>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</si>
  <si>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</si>
  <si>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</si>
  <si>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</si>
  <si>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</si>
  <si>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</si>
  <si>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</si>
  <si>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</si>
  <si>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</si>
  <si>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</si>
  <si>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</si>
  <si>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% de Comissão</t>
  </si>
  <si>
    <t>Qtd.</t>
  </si>
  <si>
    <t>Preço Unitário</t>
  </si>
  <si>
    <t>Jandira</t>
  </si>
  <si>
    <t>Itapevi</t>
  </si>
  <si>
    <t>Filial 01</t>
  </si>
  <si>
    <t>Filial 02</t>
  </si>
  <si>
    <t>Filial 03</t>
  </si>
  <si>
    <t>Angela</t>
  </si>
  <si>
    <t>Rogério</t>
  </si>
  <si>
    <t>Fernando</t>
  </si>
  <si>
    <t>André</t>
  </si>
  <si>
    <t>Geladeira Duplex</t>
  </si>
  <si>
    <t>Fogão 6 Bocas</t>
  </si>
  <si>
    <t>Máquina de lavar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</si>
</sst>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2" borderId="1" xfId="2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44" fontId="0" fillId="2" borderId="1" xfId="1" applyFont="1" applyFill="1" applyBorder="1"/>
    <xf numFmtId="44" fontId="0" fillId="2" borderId="1" xfId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44" fontId="0" fillId="4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B9"/>
  <sheetViews>
    <sheetView tabSelected="1" workbookViewId="0">
      <selection activeCell="C5" sqref="C5"/>
    </sheetView>
  </sheetViews>
  <sheetFormatPr defaultColWidth="18.33203125" defaultRowHeight="14.4" x14ac:dyDescent="0.3"/>
  <cols>
    <col min="1" max="1" width="14.5546875" bestFit="1" customWidth="1"/>
    <col min="2" max="2" width="14.88671875" bestFit="1" customWidth="1"/>
  </cols>
  <sheetData>
    <row r="1" spans="1:2" x14ac:dyDescent="0.3">
      <c r="A1" s="3" t="s">
        <v>0</v>
      </c>
      <c r="B1" s="4"/>
    </row>
    <row r="2" spans="1:2" x14ac:dyDescent="0.3">
      <c r="A2" s="5" t="s">
        <v>1</v>
      </c>
      <c r="B2" s="18" t="s">
        <v>28</v>
      </c>
    </row>
    <row r="3" spans="1:2" x14ac:dyDescent="0.3">
      <c r="A3" s="5" t="s">
        <v>2</v>
      </c>
      <c r="B3" s="2" t="str">
        <f>VLOOKUP(Pesquisa!$B$2,'Base de Dados'!$A$4:$J$23,MATCH(Pesquisa!A3,'Base de Dados'!$A$3:$J$3,0),0)</f>
        <v>André</v>
      </c>
    </row>
    <row r="4" spans="1:2" x14ac:dyDescent="0.3">
      <c r="A4" s="5" t="s">
        <v>3</v>
      </c>
      <c r="B4" s="2" t="str">
        <f>VLOOKUP(Pesquisa!$B$2,'Base de Dados'!$A$4:$J$23,MATCH(Pesquisa!A4,'Base de Dados'!$A$3:$J$3,0),0)</f>
        <v>Filial 01</v>
      </c>
    </row>
    <row r="5" spans="1:2" x14ac:dyDescent="0.3">
      <c r="A5" s="5" t="s">
        <v>4</v>
      </c>
      <c r="B5" s="2" t="str">
        <f>VLOOKUP(Pesquisa!$B$2,'Base de Dados'!$A$4:$J$23,MATCH(Pesquisa!A5,'Base de Dados'!$A$3:$J$3,0),0)</f>
        <v>Jandira</v>
      </c>
    </row>
    <row r="6" spans="1:2" x14ac:dyDescent="0.3">
      <c r="A6" s="5" t="s">
        <v>5</v>
      </c>
      <c r="B6" s="2" t="str">
        <f>VLOOKUP(Pesquisa!$B$2,'Base de Dados'!$A$4:$J$23,MATCH(Pesquisa!A6,'Base de Dados'!$A$3:$J$3,0),0)</f>
        <v>Fogão 6 Bocas</v>
      </c>
    </row>
    <row r="7" spans="1:2" x14ac:dyDescent="0.3">
      <c r="A7" s="5" t="s">
        <v>6</v>
      </c>
      <c r="B7" s="15">
        <f>VLOOKUP(Pesquisa!$B$2,'Base de Dados'!$A$4:$J$23,MATCH(Pesquisa!A7,'Base de Dados'!$A$3:$J$3,0),0)</f>
        <v>3150</v>
      </c>
    </row>
    <row r="8" spans="1:2" x14ac:dyDescent="0.3">
      <c r="A8" s="5" t="s">
        <v>7</v>
      </c>
      <c r="B8" s="15">
        <f>VLOOKUP(Pesquisa!$B$2,'Base de Dados'!$A$4:$J$23,MATCH(Pesquisa!A8,'Base de Dados'!$A$3:$J$3,0),0)</f>
        <v>157.5</v>
      </c>
    </row>
    <row r="9" spans="1:2" x14ac:dyDescent="0.3">
      <c r="A9" s="5" t="s">
        <v>8</v>
      </c>
      <c r="B9" s="19">
        <f>VLOOKUP(Pesquisa!$B$2,'Base de Dados'!$A$4:$J$23,MATCH(Pesquisa!A9,'Base de Dados'!$A$3:$J$3,0),0)</f>
        <v>43229</v>
      </c>
    </row>
  </sheetData>
  <mergeCells count="1">
    <mergeCell ref="A1:B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29EBD9-6227-442C-A0F2-1A731AEF9BEF}">
          <x14:formula1>
            <xm:f>'Base de Dados'!$A$4:$A$23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5C44-A651-404F-A312-722EB2FC2FA6}">
  <sheetPr codeName="Planilha2"/>
  <dimension ref="A1:J23"/>
  <sheetViews>
    <sheetView workbookViewId="0">
      <selection activeCell="E4" sqref="E4"/>
    </sheetView>
  </sheetViews>
  <sheetFormatPr defaultColWidth="18.33203125" defaultRowHeight="14.4" x14ac:dyDescent="0.3"/>
  <cols>
    <col min="1" max="1" width="8.21875" bestFit="1" customWidth="1"/>
    <col min="2" max="2" width="7.109375" bestFit="1" customWidth="1"/>
    <col min="3" max="3" width="10.5546875" bestFit="1" customWidth="1"/>
    <col min="4" max="4" width="9.33203125" bestFit="1" customWidth="1"/>
    <col min="5" max="5" width="15.109375" bestFit="1" customWidth="1"/>
    <col min="6" max="6" width="4.6640625" bestFit="1" customWidth="1"/>
    <col min="7" max="7" width="13.109375" bestFit="1" customWidth="1"/>
    <col min="8" max="8" width="12.88671875" bestFit="1" customWidth="1"/>
    <col min="9" max="9" width="13.6640625" bestFit="1" customWidth="1"/>
    <col min="10" max="10" width="14.77734375" bestFit="1" customWidth="1"/>
  </cols>
  <sheetData>
    <row r="1" spans="1:10" x14ac:dyDescent="0.3">
      <c r="I1" s="8" t="s">
        <v>29</v>
      </c>
      <c r="J1" s="9">
        <v>0.05</v>
      </c>
    </row>
    <row r="3" spans="1:10" x14ac:dyDescent="0.3">
      <c r="A3" s="8" t="s">
        <v>1</v>
      </c>
      <c r="B3" s="8" t="s">
        <v>3</v>
      </c>
      <c r="C3" s="8" t="s">
        <v>8</v>
      </c>
      <c r="D3" s="8" t="s">
        <v>2</v>
      </c>
      <c r="E3" s="8" t="s">
        <v>5</v>
      </c>
      <c r="F3" s="8" t="s">
        <v>30</v>
      </c>
      <c r="G3" s="8" t="s">
        <v>31</v>
      </c>
      <c r="H3" s="8" t="s">
        <v>6</v>
      </c>
      <c r="I3" s="8" t="s">
        <v>4</v>
      </c>
      <c r="J3" s="8" t="s">
        <v>7</v>
      </c>
    </row>
    <row r="4" spans="1:10" x14ac:dyDescent="0.3">
      <c r="A4" s="7" t="s">
        <v>9</v>
      </c>
      <c r="B4" s="7" t="s">
        <v>34</v>
      </c>
      <c r="C4" s="11">
        <v>43228</v>
      </c>
      <c r="D4" s="7" t="s">
        <v>37</v>
      </c>
      <c r="E4" s="6" t="s">
        <v>41</v>
      </c>
      <c r="F4" s="7">
        <v>2</v>
      </c>
      <c r="G4" s="14">
        <v>2500</v>
      </c>
      <c r="H4" s="13">
        <f>PRODUCT(F4,G4)</f>
        <v>5000</v>
      </c>
      <c r="I4" s="7" t="s">
        <v>32</v>
      </c>
      <c r="J4" s="14">
        <f>PRODUCT($J$1,H4)</f>
        <v>250</v>
      </c>
    </row>
    <row r="5" spans="1:10" x14ac:dyDescent="0.3">
      <c r="A5" s="2" t="s">
        <v>10</v>
      </c>
      <c r="B5" s="2" t="s">
        <v>35</v>
      </c>
      <c r="C5" s="12">
        <v>43228</v>
      </c>
      <c r="D5" s="2" t="s">
        <v>38</v>
      </c>
      <c r="E5" s="1" t="s">
        <v>42</v>
      </c>
      <c r="F5" s="2">
        <v>3</v>
      </c>
      <c r="G5" s="16">
        <v>1050</v>
      </c>
      <c r="H5" s="17">
        <f t="shared" ref="H5:H23" si="0">PRODUCT(F5,G5)</f>
        <v>3150</v>
      </c>
      <c r="I5" s="10" t="s">
        <v>33</v>
      </c>
      <c r="J5" s="16">
        <f t="shared" ref="J5:J23" si="1">PRODUCT($J$1,H5)</f>
        <v>157.5</v>
      </c>
    </row>
    <row r="6" spans="1:10" x14ac:dyDescent="0.3">
      <c r="A6" s="7" t="s">
        <v>11</v>
      </c>
      <c r="B6" s="7" t="s">
        <v>36</v>
      </c>
      <c r="C6" s="11">
        <v>43228</v>
      </c>
      <c r="D6" s="7" t="s">
        <v>39</v>
      </c>
      <c r="E6" s="6" t="s">
        <v>43</v>
      </c>
      <c r="F6" s="7">
        <v>4</v>
      </c>
      <c r="G6" s="14">
        <v>1600</v>
      </c>
      <c r="H6" s="13">
        <f t="shared" si="0"/>
        <v>6400</v>
      </c>
      <c r="I6" s="7" t="s">
        <v>32</v>
      </c>
      <c r="J6" s="14">
        <f t="shared" si="1"/>
        <v>320</v>
      </c>
    </row>
    <row r="7" spans="1:10" x14ac:dyDescent="0.3">
      <c r="A7" s="2" t="s">
        <v>12</v>
      </c>
      <c r="B7" s="10" t="s">
        <v>36</v>
      </c>
      <c r="C7" s="12">
        <v>43228</v>
      </c>
      <c r="D7" s="2" t="s">
        <v>40</v>
      </c>
      <c r="E7" s="1" t="s">
        <v>43</v>
      </c>
      <c r="F7" s="2">
        <v>5</v>
      </c>
      <c r="G7" s="15">
        <v>1600</v>
      </c>
      <c r="H7" s="17">
        <f t="shared" si="0"/>
        <v>8000</v>
      </c>
      <c r="I7" s="10" t="s">
        <v>33</v>
      </c>
      <c r="J7" s="16">
        <f t="shared" si="1"/>
        <v>400</v>
      </c>
    </row>
    <row r="8" spans="1:10" x14ac:dyDescent="0.3">
      <c r="A8" s="7" t="s">
        <v>13</v>
      </c>
      <c r="B8" s="7" t="s">
        <v>36</v>
      </c>
      <c r="C8" s="11">
        <v>43228</v>
      </c>
      <c r="D8" s="7" t="s">
        <v>37</v>
      </c>
      <c r="E8" s="6" t="s">
        <v>41</v>
      </c>
      <c r="F8" s="7">
        <v>2</v>
      </c>
      <c r="G8" s="14">
        <v>2500</v>
      </c>
      <c r="H8" s="13">
        <f t="shared" si="0"/>
        <v>5000</v>
      </c>
      <c r="I8" s="7" t="s">
        <v>33</v>
      </c>
      <c r="J8" s="14">
        <f t="shared" si="1"/>
        <v>250</v>
      </c>
    </row>
    <row r="9" spans="1:10" x14ac:dyDescent="0.3">
      <c r="A9" s="2" t="s">
        <v>14</v>
      </c>
      <c r="B9" s="10" t="s">
        <v>34</v>
      </c>
      <c r="C9" s="12">
        <v>43228</v>
      </c>
      <c r="D9" s="2" t="s">
        <v>38</v>
      </c>
      <c r="E9" s="1" t="s">
        <v>43</v>
      </c>
      <c r="F9" s="2">
        <v>3</v>
      </c>
      <c r="G9" s="15">
        <v>1600</v>
      </c>
      <c r="H9" s="17">
        <f t="shared" si="0"/>
        <v>4800</v>
      </c>
      <c r="I9" s="2" t="s">
        <v>33</v>
      </c>
      <c r="J9" s="16">
        <f t="shared" si="1"/>
        <v>240</v>
      </c>
    </row>
    <row r="10" spans="1:10" x14ac:dyDescent="0.3">
      <c r="A10" s="7" t="s">
        <v>15</v>
      </c>
      <c r="B10" s="7" t="s">
        <v>35</v>
      </c>
      <c r="C10" s="11">
        <v>43228</v>
      </c>
      <c r="D10" s="7" t="s">
        <v>39</v>
      </c>
      <c r="E10" s="6" t="s">
        <v>41</v>
      </c>
      <c r="F10" s="7">
        <v>4</v>
      </c>
      <c r="G10" s="14">
        <v>2500</v>
      </c>
      <c r="H10" s="13">
        <f t="shared" si="0"/>
        <v>10000</v>
      </c>
      <c r="I10" s="7" t="s">
        <v>32</v>
      </c>
      <c r="J10" s="14">
        <f t="shared" si="1"/>
        <v>500</v>
      </c>
    </row>
    <row r="11" spans="1:10" x14ac:dyDescent="0.3">
      <c r="A11" s="2" t="s">
        <v>16</v>
      </c>
      <c r="B11" s="10" t="s">
        <v>36</v>
      </c>
      <c r="C11" s="12">
        <v>43228</v>
      </c>
      <c r="D11" s="2" t="s">
        <v>40</v>
      </c>
      <c r="E11" s="1" t="s">
        <v>42</v>
      </c>
      <c r="F11" s="2">
        <v>5</v>
      </c>
      <c r="G11" s="15">
        <v>1050</v>
      </c>
      <c r="H11" s="17">
        <f t="shared" si="0"/>
        <v>5250</v>
      </c>
      <c r="I11" s="2" t="s">
        <v>33</v>
      </c>
      <c r="J11" s="16">
        <f t="shared" si="1"/>
        <v>262.5</v>
      </c>
    </row>
    <row r="12" spans="1:10" x14ac:dyDescent="0.3">
      <c r="A12" s="7" t="s">
        <v>17</v>
      </c>
      <c r="B12" s="7" t="s">
        <v>34</v>
      </c>
      <c r="C12" s="11">
        <v>43228</v>
      </c>
      <c r="D12" s="7" t="s">
        <v>37</v>
      </c>
      <c r="E12" s="6" t="s">
        <v>42</v>
      </c>
      <c r="F12" s="7">
        <v>4</v>
      </c>
      <c r="G12" s="14">
        <v>1050</v>
      </c>
      <c r="H12" s="13">
        <f t="shared" si="0"/>
        <v>4200</v>
      </c>
      <c r="I12" s="7" t="s">
        <v>32</v>
      </c>
      <c r="J12" s="14">
        <f t="shared" si="1"/>
        <v>210</v>
      </c>
    </row>
    <row r="13" spans="1:10" x14ac:dyDescent="0.3">
      <c r="A13" s="2" t="s">
        <v>18</v>
      </c>
      <c r="B13" s="10" t="s">
        <v>34</v>
      </c>
      <c r="C13" s="12">
        <v>43228</v>
      </c>
      <c r="D13" s="2" t="s">
        <v>38</v>
      </c>
      <c r="E13" s="1" t="s">
        <v>43</v>
      </c>
      <c r="F13" s="2">
        <v>3</v>
      </c>
      <c r="G13" s="15">
        <v>1600</v>
      </c>
      <c r="H13" s="17">
        <f t="shared" si="0"/>
        <v>4800</v>
      </c>
      <c r="I13" s="2" t="s">
        <v>33</v>
      </c>
      <c r="J13" s="16">
        <f t="shared" si="1"/>
        <v>240</v>
      </c>
    </row>
    <row r="14" spans="1:10" x14ac:dyDescent="0.3">
      <c r="A14" s="7" t="s">
        <v>19</v>
      </c>
      <c r="B14" s="7" t="s">
        <v>36</v>
      </c>
      <c r="C14" s="11">
        <v>43228</v>
      </c>
      <c r="D14" s="7" t="s">
        <v>39</v>
      </c>
      <c r="E14" s="6" t="s">
        <v>41</v>
      </c>
      <c r="F14" s="7">
        <v>2</v>
      </c>
      <c r="G14" s="14">
        <v>2500</v>
      </c>
      <c r="H14" s="13">
        <f t="shared" si="0"/>
        <v>5000</v>
      </c>
      <c r="I14" s="7" t="s">
        <v>32</v>
      </c>
      <c r="J14" s="14">
        <f t="shared" si="1"/>
        <v>250</v>
      </c>
    </row>
    <row r="15" spans="1:10" x14ac:dyDescent="0.3">
      <c r="A15" s="2" t="s">
        <v>20</v>
      </c>
      <c r="B15" s="10" t="s">
        <v>34</v>
      </c>
      <c r="C15" s="12">
        <v>43229</v>
      </c>
      <c r="D15" s="2" t="s">
        <v>40</v>
      </c>
      <c r="E15" s="1" t="s">
        <v>43</v>
      </c>
      <c r="F15" s="2">
        <v>1</v>
      </c>
      <c r="G15" s="15">
        <v>1600</v>
      </c>
      <c r="H15" s="17">
        <f t="shared" si="0"/>
        <v>1600</v>
      </c>
      <c r="I15" s="2" t="s">
        <v>32</v>
      </c>
      <c r="J15" s="16">
        <f t="shared" si="1"/>
        <v>80</v>
      </c>
    </row>
    <row r="16" spans="1:10" x14ac:dyDescent="0.3">
      <c r="A16" s="7" t="s">
        <v>21</v>
      </c>
      <c r="B16" s="7" t="s">
        <v>35</v>
      </c>
      <c r="C16" s="11">
        <v>43229</v>
      </c>
      <c r="D16" s="7" t="s">
        <v>37</v>
      </c>
      <c r="E16" s="6" t="s">
        <v>42</v>
      </c>
      <c r="F16" s="7">
        <v>5</v>
      </c>
      <c r="G16" s="14">
        <v>1050</v>
      </c>
      <c r="H16" s="13">
        <f t="shared" si="0"/>
        <v>5250</v>
      </c>
      <c r="I16" s="7" t="s">
        <v>33</v>
      </c>
      <c r="J16" s="14">
        <f t="shared" si="1"/>
        <v>262.5</v>
      </c>
    </row>
    <row r="17" spans="1:10" x14ac:dyDescent="0.3">
      <c r="A17" s="2" t="s">
        <v>22</v>
      </c>
      <c r="B17" s="10" t="s">
        <v>34</v>
      </c>
      <c r="C17" s="12">
        <v>43229</v>
      </c>
      <c r="D17" s="2" t="s">
        <v>38</v>
      </c>
      <c r="E17" s="1" t="s">
        <v>43</v>
      </c>
      <c r="F17" s="2">
        <v>4</v>
      </c>
      <c r="G17" s="15">
        <v>1600</v>
      </c>
      <c r="H17" s="17">
        <f t="shared" si="0"/>
        <v>6400</v>
      </c>
      <c r="I17" s="2" t="s">
        <v>32</v>
      </c>
      <c r="J17" s="16">
        <f t="shared" si="1"/>
        <v>320</v>
      </c>
    </row>
    <row r="18" spans="1:10" x14ac:dyDescent="0.3">
      <c r="A18" s="7" t="s">
        <v>23</v>
      </c>
      <c r="B18" s="7" t="s">
        <v>35</v>
      </c>
      <c r="C18" s="11">
        <v>43229</v>
      </c>
      <c r="D18" s="7" t="s">
        <v>39</v>
      </c>
      <c r="E18" s="6" t="s">
        <v>42</v>
      </c>
      <c r="F18" s="7">
        <v>2</v>
      </c>
      <c r="G18" s="14">
        <v>1050</v>
      </c>
      <c r="H18" s="13">
        <f t="shared" si="0"/>
        <v>2100</v>
      </c>
      <c r="I18" s="7" t="s">
        <v>33</v>
      </c>
      <c r="J18" s="14">
        <f t="shared" si="1"/>
        <v>105</v>
      </c>
    </row>
    <row r="19" spans="1:10" x14ac:dyDescent="0.3">
      <c r="A19" s="2" t="s">
        <v>24</v>
      </c>
      <c r="B19" s="10" t="s">
        <v>34</v>
      </c>
      <c r="C19" s="12">
        <v>43229</v>
      </c>
      <c r="D19" s="2" t="s">
        <v>40</v>
      </c>
      <c r="E19" s="1" t="s">
        <v>43</v>
      </c>
      <c r="F19" s="2">
        <v>3</v>
      </c>
      <c r="G19" s="15">
        <v>1600</v>
      </c>
      <c r="H19" s="17">
        <f t="shared" si="0"/>
        <v>4800</v>
      </c>
      <c r="I19" s="2" t="s">
        <v>32</v>
      </c>
      <c r="J19" s="16">
        <f t="shared" si="1"/>
        <v>240</v>
      </c>
    </row>
    <row r="20" spans="1:10" x14ac:dyDescent="0.3">
      <c r="A20" s="7" t="s">
        <v>25</v>
      </c>
      <c r="B20" s="7" t="s">
        <v>35</v>
      </c>
      <c r="C20" s="11">
        <v>43229</v>
      </c>
      <c r="D20" s="7" t="s">
        <v>37</v>
      </c>
      <c r="E20" s="6" t="s">
        <v>41</v>
      </c>
      <c r="F20" s="7">
        <v>2</v>
      </c>
      <c r="G20" s="14">
        <v>2500</v>
      </c>
      <c r="H20" s="13">
        <f t="shared" si="0"/>
        <v>5000</v>
      </c>
      <c r="I20" s="7" t="s">
        <v>33</v>
      </c>
      <c r="J20" s="14">
        <f t="shared" si="1"/>
        <v>250</v>
      </c>
    </row>
    <row r="21" spans="1:10" x14ac:dyDescent="0.3">
      <c r="A21" s="2" t="s">
        <v>26</v>
      </c>
      <c r="B21" s="10" t="s">
        <v>36</v>
      </c>
      <c r="C21" s="12">
        <v>43229</v>
      </c>
      <c r="D21" s="2" t="s">
        <v>38</v>
      </c>
      <c r="E21" s="1" t="s">
        <v>42</v>
      </c>
      <c r="F21" s="2">
        <v>1</v>
      </c>
      <c r="G21" s="15">
        <v>1050</v>
      </c>
      <c r="H21" s="17">
        <f t="shared" si="0"/>
        <v>1050</v>
      </c>
      <c r="I21" s="2" t="s">
        <v>32</v>
      </c>
      <c r="J21" s="16">
        <f t="shared" si="1"/>
        <v>52.5</v>
      </c>
    </row>
    <row r="22" spans="1:10" x14ac:dyDescent="0.3">
      <c r="A22" s="7" t="s">
        <v>27</v>
      </c>
      <c r="B22" s="7" t="s">
        <v>36</v>
      </c>
      <c r="C22" s="11">
        <v>43229</v>
      </c>
      <c r="D22" s="7" t="s">
        <v>39</v>
      </c>
      <c r="E22" s="6" t="s">
        <v>43</v>
      </c>
      <c r="F22" s="7">
        <v>4</v>
      </c>
      <c r="G22" s="14">
        <v>1600</v>
      </c>
      <c r="H22" s="13">
        <f t="shared" si="0"/>
        <v>6400</v>
      </c>
      <c r="I22" s="7" t="s">
        <v>32</v>
      </c>
      <c r="J22" s="14">
        <f t="shared" si="1"/>
        <v>320</v>
      </c>
    </row>
    <row r="23" spans="1:10" x14ac:dyDescent="0.3">
      <c r="A23" s="2" t="s">
        <v>28</v>
      </c>
      <c r="B23" s="10" t="s">
        <v>34</v>
      </c>
      <c r="C23" s="12">
        <v>43229</v>
      </c>
      <c r="D23" s="2" t="s">
        <v>40</v>
      </c>
      <c r="E23" s="1" t="s">
        <v>42</v>
      </c>
      <c r="F23" s="2">
        <v>3</v>
      </c>
      <c r="G23" s="15">
        <v>1050</v>
      </c>
      <c r="H23" s="17">
        <f t="shared" si="0"/>
        <v>3150</v>
      </c>
      <c r="I23" s="2" t="s">
        <v>32</v>
      </c>
      <c r="J23" s="16">
        <f t="shared" si="1"/>
        <v>157.5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Pesquisa</vt:lpstr>
      <vt:lpstr>Base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Vidal Araújo</dc:creator>
  <cp:lastModifiedBy>Luiz Henrique Vidal Araújo</cp:lastModifiedBy>
  <dcterms:created xsi:type="dcterms:W3CDTF">2015-06-05T18:19:34Z</dcterms:created>
  <dcterms:modified xsi:type="dcterms:W3CDTF">2026-03-10T19:29:09Z</dcterms:modified>
</cp:coreProperties>
</file>