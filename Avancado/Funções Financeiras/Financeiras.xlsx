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Funções Financeiras\"/>
    </mc:Choice>
  </mc:AlternateContent>
  <xr:revisionPtr revIDLastSave="0" documentId="13_ncr:1_{0DB2469F-7B3C-4A2D-A737-A5C9126FD650}" xr6:coauthVersionLast="36" xr6:coauthVersionMax="36" xr10:uidLastSave="{00000000-0000-0000-0000-000000000000}"/>
  <bookViews>
    <workbookView xWindow="0" yWindow="0" windowWidth="28800" windowHeight="12105" tabRatio="856" activeTab="2" xr2:uid="{00000000-000D-0000-FFFF-FFFF00000000}"/>
  </bookViews>
  <sheets>
    <sheet name="Valor Futuro" sheetId="1" r:id="rId1"/>
    <sheet name="Presente" sheetId="2" r:id="rId2"/>
    <sheet name="taxa de juros" sheetId="3" r:id="rId3"/>
    <sheet name="Pagto de juros acumulado" sheetId="4" r:id="rId4"/>
    <sheet name="Capital acumulado de pagto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20" i="5"/>
  <c r="D16" i="2"/>
  <c r="D20" i="4"/>
  <c r="D6" i="3" l="1"/>
</calcChain>
</file>

<file path=xl/sharedStrings.xml><?xml version="1.0" encoding="utf-8"?>
<sst xmlns="http://schemas.openxmlformats.org/spreadsheetml/2006/main" count="49" uniqueCount="37">
  <si>
    <t>Taxa de juros por periodo de anuidade</t>
  </si>
  <si>
    <t>Periodo do pgto em uma anuidade</t>
  </si>
  <si>
    <t>pagto realizado a cada periodo do mês</t>
  </si>
  <si>
    <t>Valor presente (opcional):</t>
  </si>
  <si>
    <t>Data de vencimento dos pgto (opicional)</t>
  </si>
  <si>
    <t>Valor futuro:</t>
  </si>
  <si>
    <t>Função: Pgtojuracum</t>
  </si>
  <si>
    <t>Pagto realizado a cada periodo do mês</t>
  </si>
  <si>
    <t xml:space="preserve">Valor presente: </t>
  </si>
  <si>
    <t>Capital Acumulado:</t>
  </si>
  <si>
    <t>Data de vencimento dos pgto (opicional):</t>
  </si>
  <si>
    <t>Periodo do pgto em uma anuidade:</t>
  </si>
  <si>
    <t>pagto realizado a cada periodo do mês:</t>
  </si>
  <si>
    <t>Valor presente:</t>
  </si>
  <si>
    <t xml:space="preserve">Função: Taxa </t>
  </si>
  <si>
    <t>Calculando a taxa de juros por periodo de uma anuidade do investimento</t>
  </si>
  <si>
    <t>Calculando os juros acumulados por um empréstimo no periodo</t>
  </si>
  <si>
    <t>Primeiro pgto</t>
  </si>
  <si>
    <t>Juros Acumulados:</t>
  </si>
  <si>
    <t>Ultimo pagto:</t>
  </si>
  <si>
    <t>Primeiro Pagto:</t>
  </si>
  <si>
    <t>ùltimo Pgto:</t>
  </si>
  <si>
    <t>Valor Presente:</t>
  </si>
  <si>
    <t>Valor presente</t>
  </si>
  <si>
    <t>Datas de vencimentos dos pgtos (opicional)</t>
  </si>
  <si>
    <t>Calculando o valor de um bem que foi financiado</t>
  </si>
  <si>
    <t>Valor Futuro (opcional):</t>
  </si>
  <si>
    <t>Valor alteravel</t>
  </si>
  <si>
    <t>Meses</t>
  </si>
  <si>
    <t>Negativo pois esta creditando da</t>
  </si>
  <si>
    <t>Valor de entrada</t>
  </si>
  <si>
    <t>0 se for começo mês e 1 no final</t>
  </si>
  <si>
    <t>Taxa de juros por periodo ao mês:</t>
  </si>
  <si>
    <t>Taxa de juros por periodo ao mês.</t>
  </si>
  <si>
    <t>Função: VP - valor presente</t>
  </si>
  <si>
    <t>Função: VF - valor futuro</t>
  </si>
  <si>
    <t>Calculando os juros acumulados por um empréstimo no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</si>
</sst>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ck">
        <color theme="0" tint="-0.14996795556505021"/>
      </left>
      <right style="thick">
        <color theme="0"/>
      </right>
      <top style="thick">
        <color theme="0" tint="-0.14996795556505021"/>
      </top>
      <bottom style="thick">
        <color theme="0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/>
      </top>
      <bottom style="thick">
        <color theme="0" tint="-0.1499679555650502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0" fontId="0" fillId="3" borderId="0" xfId="0" applyFill="1" applyBorder="1" applyAlignment="1">
      <alignment horizontal="right"/>
    </xf>
    <xf numFmtId="9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8" fontId="0" fillId="5" borderId="0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2" xfId="0" applyFill="1" applyBorder="1"/>
    <xf numFmtId="0" fontId="0" fillId="4" borderId="0" xfId="0" applyFill="1" applyBorder="1" applyAlignment="1">
      <alignment horizontal="right"/>
    </xf>
    <xf numFmtId="0" fontId="0" fillId="3" borderId="1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right"/>
    </xf>
    <xf numFmtId="0" fontId="0" fillId="5" borderId="0" xfId="0" applyFill="1" applyBorder="1" applyAlignment="1">
      <alignment horizontal="right"/>
    </xf>
    <xf numFmtId="0" fontId="0" fillId="5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8" fontId="0" fillId="2" borderId="0" xfId="0" applyNumberFormat="1" applyFill="1"/>
    <xf numFmtId="9" fontId="0" fillId="5" borderId="0" xfId="0" applyNumberFormat="1" applyFill="1" applyBorder="1" applyAlignment="1">
      <alignment horizontal="center"/>
    </xf>
    <xf numFmtId="8" fontId="0" fillId="3" borderId="0" xfId="0" applyNumberFormat="1" applyFill="1"/>
    <xf numFmtId="44" fontId="0" fillId="5" borderId="0" xfId="1" applyFont="1" applyFill="1" applyBorder="1" applyAlignment="1">
      <alignment horizontal="center"/>
    </xf>
    <xf numFmtId="44" fontId="0" fillId="3" borderId="0" xfId="0" applyNumberFormat="1" applyFill="1"/>
    <xf numFmtId="0" fontId="0" fillId="2" borderId="0" xfId="0" applyFill="1" applyProtection="1">
      <protection locked="0"/>
    </xf>
    <xf numFmtId="44" fontId="0" fillId="2" borderId="0" xfId="1" applyFont="1" applyFill="1" applyProtection="1">
      <protection locked="0"/>
    </xf>
    <xf numFmtId="10" fontId="0" fillId="5" borderId="2" xfId="0" applyNumberFormat="1" applyFill="1" applyBorder="1" applyAlignment="1">
      <alignment horizontal="center" vertical="center"/>
    </xf>
    <xf numFmtId="3" fontId="0" fillId="5" borderId="2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8" fontId="0" fillId="5" borderId="0" xfId="1" applyNumberFormat="1" applyFont="1" applyFill="1" applyBorder="1" applyAlignment="1">
      <alignment horizontal="center"/>
    </xf>
    <xf numFmtId="3" fontId="0" fillId="2" borderId="0" xfId="0" applyNumberForma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9" fontId="3" fillId="4" borderId="2" xfId="0" applyNumberFormat="1" applyFont="1" applyFill="1" applyBorder="1" applyAlignment="1" applyProtection="1">
      <alignment horizontal="center" vertical="center"/>
      <protection locked="0" hidden="1"/>
    </xf>
    <xf numFmtId="9" fontId="3" fillId="2" borderId="0" xfId="0" applyNumberFormat="1" applyFont="1" applyFill="1" applyBorder="1" applyAlignment="1">
      <alignment vertical="center"/>
    </xf>
    <xf numFmtId="0" fontId="3" fillId="4" borderId="2" xfId="0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Border="1" applyAlignment="1">
      <alignment vertical="center"/>
    </xf>
    <xf numFmtId="44" fontId="3" fillId="4" borderId="2" xfId="1" applyFont="1" applyFill="1" applyBorder="1" applyAlignment="1" applyProtection="1">
      <alignment horizontal="center" vertical="center"/>
      <protection locked="0" hidden="1"/>
    </xf>
    <xf numFmtId="8" fontId="3" fillId="4" borderId="14" xfId="1" applyNumberFormat="1" applyFont="1" applyFill="1" applyBorder="1" applyAlignment="1" applyProtection="1">
      <alignment horizontal="center" vertical="center"/>
      <protection locked="0" hidden="1"/>
    </xf>
    <xf numFmtId="10" fontId="4" fillId="5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8" fontId="4" fillId="5" borderId="0" xfId="0" applyNumberFormat="1" applyFont="1" applyFill="1" applyBorder="1" applyAlignment="1">
      <alignment horizontal="center"/>
    </xf>
    <xf numFmtId="44" fontId="6" fillId="5" borderId="0" xfId="0" applyNumberFormat="1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8" fontId="5" fillId="4" borderId="2" xfId="0" applyNumberFormat="1" applyFont="1" applyFill="1" applyBorder="1" applyAlignment="1">
      <alignment horizontal="center"/>
    </xf>
    <xf numFmtId="0" fontId="5" fillId="3" borderId="0" xfId="0" applyFont="1" applyFill="1" applyBorder="1"/>
    <xf numFmtId="0" fontId="5" fillId="4" borderId="0" xfId="0" applyFont="1" applyFill="1" applyBorder="1" applyAlignment="1">
      <alignment horizontal="center"/>
    </xf>
    <xf numFmtId="44" fontId="5" fillId="4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8" fontId="0" fillId="5" borderId="2" xfId="0" applyNumberForma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zoomScaleNormal="100" workbookViewId="0">
      <selection activeCell="D17" sqref="D17"/>
    </sheetView>
  </sheetViews>
  <sheetFormatPr defaultRowHeight="15" x14ac:dyDescent="0.25"/>
  <cols>
    <col min="1" max="1" width="6" style="1" customWidth="1"/>
    <col min="2" max="2" width="39.42578125" style="1" customWidth="1"/>
    <col min="3" max="3" width="9" style="1" customWidth="1"/>
    <col min="4" max="4" width="50.5703125" style="1" customWidth="1"/>
    <col min="5" max="5" width="4.5703125" style="1" customWidth="1"/>
    <col min="6" max="6" width="50.28515625" style="1" customWidth="1"/>
    <col min="7" max="7" width="9.140625" style="1"/>
    <col min="8" max="8" width="20.5703125" style="1" customWidth="1"/>
    <col min="9" max="16384" width="9.140625" style="1"/>
  </cols>
  <sheetData>
    <row r="1" spans="1:8" ht="15.75" thickBot="1" x14ac:dyDescent="0.3"/>
    <row r="2" spans="1:8" ht="40.5" customHeight="1" thickTop="1" thickBot="1" x14ac:dyDescent="0.3">
      <c r="B2" s="71" t="s">
        <v>35</v>
      </c>
      <c r="C2" s="72"/>
      <c r="D2" s="73"/>
      <c r="E2" s="52"/>
      <c r="H2" s="44"/>
    </row>
    <row r="3" spans="1:8" ht="16.5" thickTop="1" thickBot="1" x14ac:dyDescent="0.3">
      <c r="B3" s="74" t="s">
        <v>25</v>
      </c>
      <c r="C3" s="75"/>
      <c r="D3" s="76"/>
      <c r="E3" s="53"/>
    </row>
    <row r="4" spans="1:8" ht="16.5" thickTop="1" thickBot="1" x14ac:dyDescent="0.3">
      <c r="B4" s="9"/>
      <c r="C4" s="9"/>
      <c r="D4" s="9"/>
      <c r="E4" s="9"/>
    </row>
    <row r="5" spans="1:8" ht="16.5" thickTop="1" thickBot="1" x14ac:dyDescent="0.3">
      <c r="A5" s="22"/>
      <c r="B5" s="23"/>
      <c r="C5" s="23"/>
      <c r="D5" s="23"/>
      <c r="E5" s="23"/>
      <c r="F5" s="24"/>
    </row>
    <row r="6" spans="1:8" ht="20.25" thickTop="1" thickBot="1" x14ac:dyDescent="0.3">
      <c r="A6" s="25"/>
      <c r="B6" s="48" t="s">
        <v>0</v>
      </c>
      <c r="C6" s="9"/>
      <c r="D6" s="54">
        <v>0.08</v>
      </c>
      <c r="E6" s="9"/>
      <c r="F6" s="49" t="s">
        <v>27</v>
      </c>
    </row>
    <row r="7" spans="1:8" ht="20.25" thickTop="1" thickBot="1" x14ac:dyDescent="0.3">
      <c r="A7" s="25"/>
      <c r="B7" s="31"/>
      <c r="C7" s="9"/>
      <c r="D7" s="55"/>
      <c r="E7" s="9"/>
      <c r="F7" s="49"/>
    </row>
    <row r="8" spans="1:8" ht="20.25" thickTop="1" thickBot="1" x14ac:dyDescent="0.3">
      <c r="A8" s="25"/>
      <c r="B8" s="48" t="s">
        <v>1</v>
      </c>
      <c r="C8" s="9"/>
      <c r="D8" s="56">
        <v>24</v>
      </c>
      <c r="E8" s="9"/>
      <c r="F8" s="49" t="s">
        <v>28</v>
      </c>
    </row>
    <row r="9" spans="1:8" ht="20.25" thickTop="1" thickBot="1" x14ac:dyDescent="0.3">
      <c r="A9" s="25"/>
      <c r="B9" s="31"/>
      <c r="C9" s="9"/>
      <c r="D9" s="57"/>
      <c r="E9" s="9"/>
      <c r="F9" s="49"/>
    </row>
    <row r="10" spans="1:8" ht="20.25" thickTop="1" thickBot="1" x14ac:dyDescent="0.3">
      <c r="A10" s="25"/>
      <c r="B10" s="48" t="s">
        <v>2</v>
      </c>
      <c r="C10" s="9"/>
      <c r="D10" s="56">
        <v>-580</v>
      </c>
      <c r="E10" s="9"/>
      <c r="F10" s="49" t="s">
        <v>29</v>
      </c>
      <c r="H10" s="45"/>
    </row>
    <row r="11" spans="1:8" ht="20.25" thickTop="1" thickBot="1" x14ac:dyDescent="0.3">
      <c r="A11" s="25"/>
      <c r="B11" s="31"/>
      <c r="C11" s="9"/>
      <c r="D11" s="57"/>
      <c r="E11" s="9"/>
      <c r="F11" s="49"/>
    </row>
    <row r="12" spans="1:8" ht="20.25" thickTop="1" thickBot="1" x14ac:dyDescent="0.3">
      <c r="A12" s="25"/>
      <c r="B12" s="48" t="s">
        <v>3</v>
      </c>
      <c r="C12" s="9"/>
      <c r="D12" s="58">
        <v>-10000</v>
      </c>
      <c r="E12" s="9"/>
      <c r="F12" s="49" t="s">
        <v>30</v>
      </c>
      <c r="H12" s="39"/>
    </row>
    <row r="13" spans="1:8" ht="20.25" thickTop="1" thickBot="1" x14ac:dyDescent="0.3">
      <c r="A13" s="25"/>
      <c r="B13" s="31"/>
      <c r="C13" s="9"/>
      <c r="D13" s="57"/>
      <c r="E13" s="9"/>
      <c r="F13" s="49"/>
    </row>
    <row r="14" spans="1:8" ht="20.25" thickTop="1" thickBot="1" x14ac:dyDescent="0.3">
      <c r="A14" s="25"/>
      <c r="B14" s="48" t="s">
        <v>4</v>
      </c>
      <c r="C14" s="9"/>
      <c r="D14" s="56">
        <v>0</v>
      </c>
      <c r="E14" s="9"/>
      <c r="F14" s="49" t="s">
        <v>31</v>
      </c>
    </row>
    <row r="15" spans="1:8" ht="20.25" thickTop="1" thickBot="1" x14ac:dyDescent="0.3">
      <c r="A15" s="25"/>
      <c r="B15" s="31"/>
      <c r="C15" s="9"/>
      <c r="D15" s="57"/>
      <c r="E15" s="9"/>
      <c r="F15" s="49"/>
    </row>
    <row r="16" spans="1:8" ht="20.25" thickTop="1" thickBot="1" x14ac:dyDescent="0.3">
      <c r="A16" s="25"/>
      <c r="B16" s="48" t="s">
        <v>5</v>
      </c>
      <c r="C16" s="9"/>
      <c r="D16" s="59">
        <f>FV(D6/12,D8,D10,D12,D14)</f>
        <v>26770.129379295071</v>
      </c>
      <c r="E16" s="9"/>
      <c r="F16" s="49"/>
    </row>
    <row r="17" spans="1:6" ht="16.5" thickTop="1" thickBot="1" x14ac:dyDescent="0.3">
      <c r="A17" s="27"/>
      <c r="B17" s="28"/>
      <c r="C17" s="28"/>
      <c r="D17" s="28"/>
      <c r="E17" s="28"/>
      <c r="F17" s="29"/>
    </row>
    <row r="18" spans="1:6" ht="15.75" thickTop="1" x14ac:dyDescent="0.25"/>
  </sheetData>
  <sheetProtection formatColumns="0" formatRows="0" selectLockedCells="1"/>
  <mergeCells count="2">
    <mergeCell ref="B2:D2"/>
    <mergeCell ref="B3:D3"/>
  </mergeCells>
  <conditionalFormatting sqref="B2:C4 B5:B16">
    <cfRule type="duplicateValues" dxfId="4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30" zoomScaleNormal="130" workbookViewId="0">
      <selection activeCell="D16" sqref="D16"/>
    </sheetView>
  </sheetViews>
  <sheetFormatPr defaultRowHeight="15" x14ac:dyDescent="0.25"/>
  <cols>
    <col min="1" max="1" width="5.140625" style="2" customWidth="1"/>
    <col min="2" max="2" width="44.7109375" style="2" customWidth="1"/>
    <col min="3" max="3" width="6.28515625" style="2" customWidth="1"/>
    <col min="4" max="4" width="37" style="2" customWidth="1"/>
    <col min="5" max="6" width="9.140625" style="2"/>
    <col min="7" max="7" width="13.28515625" style="2" bestFit="1" customWidth="1"/>
    <col min="8" max="16384" width="9.140625" style="2"/>
  </cols>
  <sheetData>
    <row r="1" spans="1:7" ht="15.75" thickBot="1" x14ac:dyDescent="0.3"/>
    <row r="2" spans="1:7" ht="33" thickTop="1" thickBot="1" x14ac:dyDescent="0.3">
      <c r="B2" s="77" t="s">
        <v>34</v>
      </c>
      <c r="C2" s="78"/>
      <c r="D2" s="79"/>
    </row>
    <row r="3" spans="1:7" ht="16.5" thickTop="1" thickBot="1" x14ac:dyDescent="0.3">
      <c r="B3" s="80" t="s">
        <v>25</v>
      </c>
      <c r="C3" s="81"/>
      <c r="D3" s="82"/>
    </row>
    <row r="4" spans="1:7" ht="16.5" thickTop="1" thickBot="1" x14ac:dyDescent="0.3">
      <c r="B4" s="3"/>
      <c r="C4" s="3"/>
      <c r="D4" s="3"/>
    </row>
    <row r="5" spans="1:7" ht="15.75" thickTop="1" x14ac:dyDescent="0.25">
      <c r="A5" s="13"/>
      <c r="B5" s="14"/>
      <c r="C5" s="14"/>
      <c r="D5" s="14"/>
      <c r="E5" s="15"/>
    </row>
    <row r="6" spans="1:7" x14ac:dyDescent="0.25">
      <c r="A6" s="16"/>
      <c r="B6" s="17" t="s">
        <v>0</v>
      </c>
      <c r="C6" s="4"/>
      <c r="D6" s="40">
        <v>0.17</v>
      </c>
      <c r="E6" s="18"/>
    </row>
    <row r="7" spans="1:7" x14ac:dyDescent="0.25">
      <c r="A7" s="16"/>
      <c r="B7" s="4"/>
      <c r="C7" s="4"/>
      <c r="D7" s="8"/>
      <c r="E7" s="18"/>
    </row>
    <row r="8" spans="1:7" x14ac:dyDescent="0.25">
      <c r="A8" s="16"/>
      <c r="B8" s="17" t="s">
        <v>1</v>
      </c>
      <c r="C8" s="4"/>
      <c r="D8" s="11">
        <v>48</v>
      </c>
      <c r="E8" s="18"/>
    </row>
    <row r="9" spans="1:7" x14ac:dyDescent="0.25">
      <c r="A9" s="16"/>
      <c r="B9" s="4"/>
      <c r="C9" s="4"/>
      <c r="D9" s="8"/>
      <c r="E9" s="18"/>
      <c r="G9" s="43"/>
    </row>
    <row r="10" spans="1:7" x14ac:dyDescent="0.25">
      <c r="A10" s="16"/>
      <c r="B10" s="17" t="s">
        <v>2</v>
      </c>
      <c r="C10" s="4"/>
      <c r="D10" s="42">
        <v>-1200</v>
      </c>
      <c r="E10" s="18"/>
      <c r="G10" s="43"/>
    </row>
    <row r="11" spans="1:7" x14ac:dyDescent="0.25">
      <c r="A11" s="16"/>
      <c r="B11" s="4"/>
      <c r="C11" s="4"/>
      <c r="D11" s="8"/>
      <c r="E11" s="18"/>
      <c r="G11" s="43"/>
    </row>
    <row r="12" spans="1:7" x14ac:dyDescent="0.25">
      <c r="A12" s="16"/>
      <c r="B12" s="17" t="s">
        <v>26</v>
      </c>
      <c r="C12" s="4"/>
      <c r="D12" s="12"/>
      <c r="E12" s="18"/>
    </row>
    <row r="13" spans="1:7" x14ac:dyDescent="0.25">
      <c r="A13" s="16"/>
      <c r="B13" s="4"/>
      <c r="C13" s="4"/>
      <c r="D13" s="8"/>
      <c r="E13" s="18"/>
    </row>
    <row r="14" spans="1:7" x14ac:dyDescent="0.25">
      <c r="A14" s="16"/>
      <c r="B14" s="17" t="s">
        <v>10</v>
      </c>
      <c r="C14" s="4"/>
      <c r="D14" s="11">
        <v>0</v>
      </c>
      <c r="E14" s="18"/>
    </row>
    <row r="15" spans="1:7" x14ac:dyDescent="0.25">
      <c r="A15" s="16"/>
      <c r="B15" s="4"/>
      <c r="C15" s="4"/>
      <c r="D15" s="8"/>
      <c r="E15" s="18"/>
    </row>
    <row r="16" spans="1:7" x14ac:dyDescent="0.25">
      <c r="A16" s="16"/>
      <c r="B16" s="17" t="s">
        <v>22</v>
      </c>
      <c r="C16" s="4"/>
      <c r="D16" s="50">
        <f>PV(D6/12,D8,D10,D12,D14)</f>
        <v>41587.185602294448</v>
      </c>
      <c r="E16" s="18"/>
    </row>
    <row r="17" spans="1:5" ht="15.75" thickBot="1" x14ac:dyDescent="0.3">
      <c r="A17" s="19"/>
      <c r="B17" s="20"/>
      <c r="C17" s="20"/>
      <c r="D17" s="20"/>
      <c r="E17" s="21"/>
    </row>
    <row r="18" spans="1:5" ht="15.75" thickTop="1" x14ac:dyDescent="0.25"/>
  </sheetData>
  <sheetProtection selectLockedCells="1" selectUnlockedCells="1"/>
  <mergeCells count="2">
    <mergeCell ref="B2:D2"/>
    <mergeCell ref="B3:D3"/>
  </mergeCells>
  <conditionalFormatting sqref="B2:C16">
    <cfRule type="duplicateValues" dxfId="3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topLeftCell="A2" zoomScale="130" zoomScaleNormal="130" workbookViewId="0">
      <selection activeCell="D6" sqref="D6"/>
    </sheetView>
  </sheetViews>
  <sheetFormatPr defaultRowHeight="15" x14ac:dyDescent="0.25"/>
  <cols>
    <col min="1" max="1" width="5" style="1" customWidth="1"/>
    <col min="2" max="2" width="44.7109375" style="1" customWidth="1"/>
    <col min="3" max="3" width="10.42578125" style="1" customWidth="1"/>
    <col min="4" max="4" width="25.140625" style="1" customWidth="1"/>
    <col min="5" max="5" width="5.7109375" style="1" customWidth="1"/>
    <col min="6" max="6" width="2.7109375" style="1" customWidth="1"/>
    <col min="7" max="7" width="26.42578125" style="1" bestFit="1" customWidth="1"/>
    <col min="8" max="16384" width="9.140625" style="1"/>
  </cols>
  <sheetData>
    <row r="1" spans="1:5" ht="15.75" thickBot="1" x14ac:dyDescent="0.3"/>
    <row r="2" spans="1:5" ht="33" thickTop="1" thickBot="1" x14ac:dyDescent="0.3">
      <c r="B2" s="71" t="s">
        <v>14</v>
      </c>
      <c r="C2" s="72"/>
      <c r="D2" s="73"/>
    </row>
    <row r="3" spans="1:5" ht="16.5" thickTop="1" thickBot="1" x14ac:dyDescent="0.3">
      <c r="B3" s="74" t="s">
        <v>15</v>
      </c>
      <c r="C3" s="75"/>
      <c r="D3" s="76"/>
    </row>
    <row r="4" spans="1:5" ht="16.5" thickTop="1" thickBot="1" x14ac:dyDescent="0.3">
      <c r="B4" s="9"/>
      <c r="C4" s="9"/>
      <c r="D4" s="9"/>
    </row>
    <row r="5" spans="1:5" ht="16.5" thickTop="1" thickBot="1" x14ac:dyDescent="0.3">
      <c r="A5" s="22"/>
      <c r="B5" s="23"/>
      <c r="C5" s="23"/>
      <c r="D5" s="23"/>
      <c r="E5" s="24"/>
    </row>
    <row r="6" spans="1:5" ht="16.5" thickTop="1" thickBot="1" x14ac:dyDescent="0.3">
      <c r="A6" s="25"/>
      <c r="B6" s="32" t="s">
        <v>32</v>
      </c>
      <c r="C6" s="9"/>
      <c r="D6" s="46">
        <f>RATE(D8,D10,D12,D14,D16)</f>
        <v>1.6550119066712613E-2</v>
      </c>
      <c r="E6" s="26"/>
    </row>
    <row r="7" spans="1:5" ht="16.5" thickTop="1" thickBot="1" x14ac:dyDescent="0.3">
      <c r="A7" s="25"/>
      <c r="B7" s="10"/>
      <c r="C7" s="9"/>
      <c r="D7" s="30"/>
      <c r="E7" s="26"/>
    </row>
    <row r="8" spans="1:5" ht="16.5" thickTop="1" thickBot="1" x14ac:dyDescent="0.3">
      <c r="A8" s="25"/>
      <c r="B8" s="32" t="s">
        <v>11</v>
      </c>
      <c r="C8" s="9"/>
      <c r="D8" s="34">
        <v>24</v>
      </c>
      <c r="E8" s="26"/>
    </row>
    <row r="9" spans="1:5" ht="16.5" thickTop="1" thickBot="1" x14ac:dyDescent="0.3">
      <c r="A9" s="25"/>
      <c r="B9" s="10"/>
      <c r="C9" s="9"/>
      <c r="D9" s="31"/>
      <c r="E9" s="26"/>
    </row>
    <row r="10" spans="1:5" ht="16.5" thickTop="1" thickBot="1" x14ac:dyDescent="0.3">
      <c r="A10" s="25"/>
      <c r="B10" s="32" t="s">
        <v>12</v>
      </c>
      <c r="C10" s="9"/>
      <c r="D10" s="34">
        <v>-2500</v>
      </c>
      <c r="E10" s="26"/>
    </row>
    <row r="11" spans="1:5" ht="16.5" thickTop="1" thickBot="1" x14ac:dyDescent="0.3">
      <c r="A11" s="25"/>
      <c r="B11" s="10"/>
      <c r="C11" s="9"/>
      <c r="D11" s="51"/>
      <c r="E11" s="26"/>
    </row>
    <row r="12" spans="1:5" ht="16.5" thickTop="1" thickBot="1" x14ac:dyDescent="0.3">
      <c r="A12" s="25"/>
      <c r="B12" s="32" t="s">
        <v>13</v>
      </c>
      <c r="C12" s="9"/>
      <c r="D12" s="47">
        <v>50000</v>
      </c>
      <c r="E12" s="26"/>
    </row>
    <row r="13" spans="1:5" ht="16.5" thickTop="1" thickBot="1" x14ac:dyDescent="0.3">
      <c r="A13" s="25"/>
      <c r="B13" s="10"/>
      <c r="C13" s="9"/>
      <c r="D13" s="31"/>
      <c r="E13" s="26"/>
    </row>
    <row r="14" spans="1:5" ht="16.5" thickTop="1" thickBot="1" x14ac:dyDescent="0.3">
      <c r="A14" s="25"/>
      <c r="B14" s="32" t="s">
        <v>5</v>
      </c>
      <c r="C14" s="9"/>
      <c r="D14" s="89"/>
      <c r="E14" s="26"/>
    </row>
    <row r="15" spans="1:5" ht="16.5" thickTop="1" thickBot="1" x14ac:dyDescent="0.3">
      <c r="A15" s="25"/>
      <c r="B15" s="10"/>
      <c r="C15" s="9"/>
      <c r="D15" s="31"/>
      <c r="E15" s="26"/>
    </row>
    <row r="16" spans="1:5" ht="16.5" thickTop="1" thickBot="1" x14ac:dyDescent="0.3">
      <c r="A16" s="25"/>
      <c r="B16" s="32" t="s">
        <v>10</v>
      </c>
      <c r="C16" s="9"/>
      <c r="D16" s="34">
        <v>1</v>
      </c>
      <c r="E16" s="26"/>
    </row>
    <row r="17" spans="1:5" ht="16.5" thickTop="1" thickBot="1" x14ac:dyDescent="0.3">
      <c r="A17" s="27"/>
      <c r="B17" s="28"/>
      <c r="C17" s="28"/>
      <c r="D17" s="28"/>
      <c r="E17" s="29"/>
    </row>
    <row r="18" spans="1:5" ht="15.75" thickTop="1" x14ac:dyDescent="0.25"/>
  </sheetData>
  <mergeCells count="2">
    <mergeCell ref="B2:D2"/>
    <mergeCell ref="B3:D3"/>
  </mergeCells>
  <conditionalFormatting sqref="B2:C5 B6:B16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topLeftCell="A3" zoomScale="115" zoomScaleNormal="115" workbookViewId="0">
      <selection activeCell="D20" sqref="D20"/>
    </sheetView>
  </sheetViews>
  <sheetFormatPr defaultRowHeight="15" x14ac:dyDescent="0.25"/>
  <cols>
    <col min="1" max="1" width="9.140625" style="2"/>
    <col min="2" max="2" width="44.7109375" style="2" customWidth="1"/>
    <col min="3" max="3" width="5.7109375" style="2" customWidth="1"/>
    <col min="4" max="4" width="63.85546875" style="2" customWidth="1"/>
    <col min="5" max="5" width="10" style="2" customWidth="1"/>
    <col min="6" max="6" width="3" style="2" customWidth="1"/>
    <col min="7" max="7" width="41.140625" style="2" bestFit="1" customWidth="1"/>
    <col min="8" max="16384" width="9.140625" style="2"/>
  </cols>
  <sheetData>
    <row r="1" spans="1:7" ht="15.75" thickBot="1" x14ac:dyDescent="0.3"/>
    <row r="2" spans="1:7" ht="33" thickTop="1" thickBot="1" x14ac:dyDescent="0.3">
      <c r="B2" s="83" t="s">
        <v>6</v>
      </c>
      <c r="C2" s="84"/>
      <c r="D2" s="85"/>
    </row>
    <row r="3" spans="1:7" ht="16.5" thickTop="1" thickBot="1" x14ac:dyDescent="0.3">
      <c r="B3" s="80" t="s">
        <v>16</v>
      </c>
      <c r="C3" s="81"/>
      <c r="D3" s="82"/>
    </row>
    <row r="4" spans="1:7" ht="16.5" thickTop="1" thickBot="1" x14ac:dyDescent="0.3">
      <c r="B4" s="3"/>
      <c r="C4" s="3"/>
    </row>
    <row r="5" spans="1:7" ht="15.75" thickTop="1" x14ac:dyDescent="0.25">
      <c r="A5" s="13"/>
      <c r="B5" s="14"/>
      <c r="C5" s="14"/>
      <c r="D5" s="14"/>
      <c r="E5" s="15"/>
    </row>
    <row r="6" spans="1:7" ht="18.75" x14ac:dyDescent="0.3">
      <c r="A6" s="16"/>
      <c r="B6" s="33" t="s">
        <v>0</v>
      </c>
      <c r="C6" s="5"/>
      <c r="D6" s="60">
        <v>0.1051</v>
      </c>
      <c r="E6" s="18"/>
    </row>
    <row r="7" spans="1:7" ht="18.75" x14ac:dyDescent="0.3">
      <c r="A7" s="16"/>
      <c r="B7" s="4"/>
      <c r="C7" s="5"/>
      <c r="D7" s="61"/>
      <c r="E7" s="18"/>
    </row>
    <row r="8" spans="1:7" ht="18.75" x14ac:dyDescent="0.3">
      <c r="A8" s="16"/>
      <c r="B8" s="33" t="s">
        <v>1</v>
      </c>
      <c r="C8" s="6"/>
      <c r="D8" s="62">
        <v>24</v>
      </c>
      <c r="E8" s="18"/>
    </row>
    <row r="9" spans="1:7" ht="18.75" x14ac:dyDescent="0.3">
      <c r="A9" s="16"/>
      <c r="B9" s="4"/>
      <c r="C9" s="6"/>
      <c r="D9" s="61"/>
      <c r="E9" s="18"/>
    </row>
    <row r="10" spans="1:7" ht="18.75" x14ac:dyDescent="0.3">
      <c r="A10" s="16"/>
      <c r="B10" s="33" t="s">
        <v>7</v>
      </c>
      <c r="C10" s="6"/>
      <c r="D10" s="62">
        <v>-1000</v>
      </c>
      <c r="E10" s="18"/>
    </row>
    <row r="11" spans="1:7" ht="18.75" x14ac:dyDescent="0.3">
      <c r="A11" s="16"/>
      <c r="B11" s="4"/>
      <c r="C11" s="6"/>
      <c r="D11" s="61"/>
      <c r="E11" s="18"/>
    </row>
    <row r="12" spans="1:7" ht="18.75" x14ac:dyDescent="0.3">
      <c r="A12" s="16"/>
      <c r="B12" s="33" t="s">
        <v>8</v>
      </c>
      <c r="C12" s="6"/>
      <c r="D12" s="63">
        <v>23265.68</v>
      </c>
      <c r="E12" s="18"/>
      <c r="G12" s="41"/>
    </row>
    <row r="13" spans="1:7" ht="18.75" x14ac:dyDescent="0.3">
      <c r="A13" s="16"/>
      <c r="B13" s="4"/>
      <c r="C13" s="6"/>
      <c r="D13" s="61"/>
      <c r="E13" s="18"/>
    </row>
    <row r="14" spans="1:7" ht="18.75" x14ac:dyDescent="0.3">
      <c r="A14" s="16"/>
      <c r="B14" s="33" t="s">
        <v>4</v>
      </c>
      <c r="C14" s="6"/>
      <c r="D14" s="62">
        <v>0</v>
      </c>
      <c r="E14" s="18"/>
    </row>
    <row r="15" spans="1:7" ht="18.75" x14ac:dyDescent="0.3">
      <c r="A15" s="16"/>
      <c r="B15" s="4"/>
      <c r="C15" s="6"/>
      <c r="D15" s="61"/>
      <c r="E15" s="18"/>
    </row>
    <row r="16" spans="1:7" ht="18.75" x14ac:dyDescent="0.3">
      <c r="A16" s="16"/>
      <c r="B16" s="33" t="s">
        <v>17</v>
      </c>
      <c r="C16" s="6"/>
      <c r="D16" s="62">
        <v>1</v>
      </c>
      <c r="E16" s="18"/>
    </row>
    <row r="17" spans="1:5" ht="18.75" x14ac:dyDescent="0.3">
      <c r="A17" s="16"/>
      <c r="B17" s="4"/>
      <c r="C17" s="6"/>
      <c r="D17" s="61"/>
      <c r="E17" s="18"/>
    </row>
    <row r="18" spans="1:5" ht="18.75" x14ac:dyDescent="0.3">
      <c r="A18" s="16"/>
      <c r="B18" s="33" t="s">
        <v>19</v>
      </c>
      <c r="C18" s="3"/>
      <c r="D18" s="62">
        <v>24</v>
      </c>
      <c r="E18" s="18"/>
    </row>
    <row r="19" spans="1:5" ht="18.75" x14ac:dyDescent="0.3">
      <c r="A19" s="16"/>
      <c r="B19" s="4"/>
      <c r="C19" s="3"/>
      <c r="D19" s="61"/>
      <c r="E19" s="18"/>
    </row>
    <row r="20" spans="1:5" ht="36" x14ac:dyDescent="0.55000000000000004">
      <c r="A20" s="16"/>
      <c r="B20" s="33" t="s">
        <v>18</v>
      </c>
      <c r="C20" s="3"/>
      <c r="D20" s="64">
        <f>CUMIPMT(D6,D8,D12,D16,D18,D14)*-1</f>
        <v>41284.562787442759</v>
      </c>
      <c r="E20" s="18"/>
    </row>
    <row r="21" spans="1:5" ht="15.75" thickBot="1" x14ac:dyDescent="0.3">
      <c r="A21" s="19"/>
      <c r="B21" s="20"/>
      <c r="C21" s="20"/>
      <c r="D21" s="20"/>
      <c r="E21" s="21"/>
    </row>
    <row r="22" spans="1:5" ht="15.75" thickTop="1" x14ac:dyDescent="0.25"/>
  </sheetData>
  <mergeCells count="2">
    <mergeCell ref="B3:D3"/>
    <mergeCell ref="B2:D2"/>
  </mergeCells>
  <conditionalFormatting sqref="B2:B17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zoomScale="130" zoomScaleNormal="130" workbookViewId="0">
      <selection activeCell="B4" sqref="B4"/>
    </sheetView>
  </sheetViews>
  <sheetFormatPr defaultRowHeight="15" x14ac:dyDescent="0.25"/>
  <cols>
    <col min="2" max="2" width="44.7109375" customWidth="1"/>
    <col min="3" max="3" width="5.28515625" customWidth="1"/>
    <col min="4" max="4" width="63.85546875" customWidth="1"/>
    <col min="6" max="6" width="2.7109375" customWidth="1"/>
    <col min="7" max="7" width="42.5703125" bestFit="1" customWidth="1"/>
  </cols>
  <sheetData>
    <row r="1" spans="1:5" ht="15.75" thickBot="1" x14ac:dyDescent="0.3">
      <c r="A1" s="6"/>
      <c r="B1" s="6"/>
      <c r="C1" s="6"/>
      <c r="D1" s="6"/>
      <c r="E1" s="6"/>
    </row>
    <row r="2" spans="1:5" ht="33" thickTop="1" thickBot="1" x14ac:dyDescent="0.3">
      <c r="A2" s="6"/>
      <c r="B2" s="83" t="s">
        <v>6</v>
      </c>
      <c r="C2" s="84"/>
      <c r="D2" s="85"/>
      <c r="E2" s="3"/>
    </row>
    <row r="3" spans="1:5" ht="27.75" customHeight="1" thickTop="1" thickBot="1" x14ac:dyDescent="0.3">
      <c r="A3" s="6"/>
      <c r="B3" s="86" t="s">
        <v>36</v>
      </c>
      <c r="C3" s="87"/>
      <c r="D3" s="88"/>
      <c r="E3" s="3"/>
    </row>
    <row r="4" spans="1:5" ht="16.5" thickTop="1" thickBot="1" x14ac:dyDescent="0.3">
      <c r="A4" s="6"/>
      <c r="B4" s="3"/>
      <c r="C4" s="3"/>
      <c r="D4" s="3"/>
      <c r="E4" s="3"/>
    </row>
    <row r="5" spans="1:5" ht="16.5" thickTop="1" thickBot="1" x14ac:dyDescent="0.3">
      <c r="A5" s="35"/>
      <c r="B5" s="14"/>
      <c r="C5" s="14"/>
      <c r="D5" s="14"/>
      <c r="E5" s="15"/>
    </row>
    <row r="6" spans="1:5" ht="20.25" thickTop="1" thickBot="1" x14ac:dyDescent="0.35">
      <c r="A6" s="36"/>
      <c r="B6" s="7" t="s">
        <v>33</v>
      </c>
      <c r="C6" s="3"/>
      <c r="D6" s="65">
        <v>2.5000000000000001E-2</v>
      </c>
      <c r="E6" s="18"/>
    </row>
    <row r="7" spans="1:5" ht="20.25" thickTop="1" thickBot="1" x14ac:dyDescent="0.35">
      <c r="A7" s="36"/>
      <c r="B7" s="4"/>
      <c r="C7" s="3"/>
      <c r="D7" s="61"/>
      <c r="E7" s="18"/>
    </row>
    <row r="8" spans="1:5" ht="20.25" thickTop="1" thickBot="1" x14ac:dyDescent="0.35">
      <c r="A8" s="36"/>
      <c r="B8" s="7" t="s">
        <v>1</v>
      </c>
      <c r="C8" s="3"/>
      <c r="D8" s="66">
        <v>36</v>
      </c>
      <c r="E8" s="18"/>
    </row>
    <row r="9" spans="1:5" ht="20.25" thickTop="1" thickBot="1" x14ac:dyDescent="0.35">
      <c r="A9" s="36"/>
      <c r="B9" s="4"/>
      <c r="C9" s="3"/>
      <c r="D9" s="61"/>
      <c r="E9" s="18"/>
    </row>
    <row r="10" spans="1:5" ht="20.25" thickTop="1" thickBot="1" x14ac:dyDescent="0.35">
      <c r="A10" s="36"/>
      <c r="B10" s="7" t="s">
        <v>7</v>
      </c>
      <c r="C10" s="3"/>
      <c r="D10" s="66">
        <v>-1000</v>
      </c>
      <c r="E10" s="18"/>
    </row>
    <row r="11" spans="1:5" ht="20.25" thickTop="1" thickBot="1" x14ac:dyDescent="0.35">
      <c r="A11" s="36"/>
      <c r="B11" s="4"/>
      <c r="C11" s="3"/>
      <c r="D11" s="61"/>
      <c r="E11" s="18"/>
    </row>
    <row r="12" spans="1:5" ht="20.25" thickTop="1" thickBot="1" x14ac:dyDescent="0.35">
      <c r="A12" s="36"/>
      <c r="B12" s="7" t="s">
        <v>23</v>
      </c>
      <c r="C12" s="3"/>
      <c r="D12" s="67">
        <v>34386.47</v>
      </c>
      <c r="E12" s="18"/>
    </row>
    <row r="13" spans="1:5" ht="19.5" thickTop="1" x14ac:dyDescent="0.3">
      <c r="A13" s="36"/>
      <c r="B13" s="4"/>
      <c r="C13" s="3"/>
      <c r="D13" s="68"/>
      <c r="E13" s="18"/>
    </row>
    <row r="14" spans="1:5" ht="18.75" x14ac:dyDescent="0.3">
      <c r="A14" s="36"/>
      <c r="B14" s="4" t="s">
        <v>24</v>
      </c>
      <c r="C14" s="3"/>
      <c r="D14" s="69">
        <v>0</v>
      </c>
      <c r="E14" s="18"/>
    </row>
    <row r="15" spans="1:5" ht="19.5" thickBot="1" x14ac:dyDescent="0.35">
      <c r="A15" s="36"/>
      <c r="B15" s="4"/>
      <c r="C15" s="3"/>
      <c r="D15" s="61"/>
      <c r="E15" s="18"/>
    </row>
    <row r="16" spans="1:5" ht="20.25" thickTop="1" thickBot="1" x14ac:dyDescent="0.35">
      <c r="A16" s="36"/>
      <c r="B16" s="7" t="s">
        <v>20</v>
      </c>
      <c r="C16" s="3"/>
      <c r="D16" s="66">
        <v>1</v>
      </c>
      <c r="E16" s="18"/>
    </row>
    <row r="17" spans="1:5" ht="20.25" thickTop="1" thickBot="1" x14ac:dyDescent="0.35">
      <c r="A17" s="36"/>
      <c r="B17" s="4"/>
      <c r="C17" s="3"/>
      <c r="D17" s="61"/>
      <c r="E17" s="18"/>
    </row>
    <row r="18" spans="1:5" ht="20.25" thickTop="1" thickBot="1" x14ac:dyDescent="0.35">
      <c r="A18" s="36"/>
      <c r="B18" s="7" t="s">
        <v>21</v>
      </c>
      <c r="C18" s="3"/>
      <c r="D18" s="66">
        <v>36</v>
      </c>
      <c r="E18" s="18"/>
    </row>
    <row r="19" spans="1:5" ht="20.25" thickTop="1" thickBot="1" x14ac:dyDescent="0.35">
      <c r="A19" s="36"/>
      <c r="B19" s="4"/>
      <c r="C19" s="3"/>
      <c r="D19" s="61"/>
      <c r="E19" s="18"/>
    </row>
    <row r="20" spans="1:5" ht="20.25" thickTop="1" thickBot="1" x14ac:dyDescent="0.3">
      <c r="A20" s="36"/>
      <c r="B20" s="7" t="s">
        <v>9</v>
      </c>
      <c r="C20" s="3"/>
      <c r="D20" s="70">
        <f>CUMPRINC(D6,D8,D12,D16,D18,D14)*-1</f>
        <v>34386.47</v>
      </c>
      <c r="E20" s="18"/>
    </row>
    <row r="21" spans="1:5" ht="16.5" thickTop="1" thickBot="1" x14ac:dyDescent="0.3">
      <c r="A21" s="37"/>
      <c r="B21" s="38"/>
      <c r="C21" s="20"/>
      <c r="D21" s="20"/>
      <c r="E21" s="21"/>
    </row>
    <row r="22" spans="1:5" ht="15.75" thickTop="1" x14ac:dyDescent="0.25"/>
  </sheetData>
  <mergeCells count="2">
    <mergeCell ref="B3:D3"/>
    <mergeCell ref="B2:D2"/>
  </mergeCells>
  <conditionalFormatting sqref="B2:B2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 Futuro</vt:lpstr>
      <vt:lpstr>Presente</vt:lpstr>
      <vt:lpstr>taxa de juros</vt:lpstr>
      <vt:lpstr>Pagto de juros acumulado</vt:lpstr>
      <vt:lpstr>Capital acumulado de pagto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WILCK GOMES DE OLIVEIRA</cp:lastModifiedBy>
  <dcterms:created xsi:type="dcterms:W3CDTF">2018-03-05T16:07:21Z</dcterms:created>
  <dcterms:modified xsi:type="dcterms:W3CDTF">2026-03-26T00:53:01Z</dcterms:modified>
</cp:coreProperties>
</file>