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EXCEL-completo\Avancado\Funções Financeiras\"/>
    </mc:Choice>
  </mc:AlternateContent>
  <xr:revisionPtr revIDLastSave="0" documentId="13_ncr:1_{3020C18D-3954-4D9D-8329-7FA4F781C3D2}" xr6:coauthVersionLast="36" xr6:coauthVersionMax="36" xr10:uidLastSave="{00000000-0000-0000-0000-000000000000}"/>
  <bookViews>
    <workbookView xWindow="0" yWindow="0" windowWidth="28800" windowHeight="12105" activeTab="3" xr2:uid="{00000000-000D-0000-FFFF-FFFF00000000}"/>
  </bookViews>
  <sheets>
    <sheet name="ValorFuturo" sheetId="1" r:id="rId1"/>
    <sheet name="ValorPresente" sheetId="2" r:id="rId2"/>
    <sheet name="Taxa" sheetId="3" r:id="rId3"/>
    <sheet name="NºPeriodos" sheetId="4" r:id="rId4"/>
    <sheet name="Pagamentos" sheetId="5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4" l="1"/>
  <c r="C6" i="1"/>
  <c r="C4" i="2"/>
  <c r="C7" i="3"/>
  <c r="C6" i="5" l="1"/>
</calcChain>
</file>

<file path=xl/sharedStrings.xml><?xml version="1.0" encoding="utf-8"?>
<sst xmlns="http://schemas.openxmlformats.org/spreadsheetml/2006/main" count="25" uniqueCount="20">
  <si>
    <t>Valor Futuro</t>
  </si>
  <si>
    <t>Valor do Resgate:</t>
  </si>
  <si>
    <t>Valor da Aplicação:</t>
  </si>
  <si>
    <t>Prazo da Operação:</t>
  </si>
  <si>
    <t>Taxa de Juros-a.m:</t>
  </si>
  <si>
    <t>Valor Presente</t>
  </si>
  <si>
    <t>Taxa de juros - a.m.:</t>
  </si>
  <si>
    <t>Valor do Resgate</t>
  </si>
  <si>
    <t>Taxa</t>
  </si>
  <si>
    <t>Valor do empréstimo:</t>
  </si>
  <si>
    <t>Taxa de Juros:</t>
  </si>
  <si>
    <t>Número de Períodos</t>
  </si>
  <si>
    <t>Capital aplicado:</t>
  </si>
  <si>
    <t>Montante Final:</t>
  </si>
  <si>
    <t>Prazo em meses:</t>
  </si>
  <si>
    <t>Pagamentos</t>
  </si>
  <si>
    <t>Valor financiado:</t>
  </si>
  <si>
    <t>Parcelas:</t>
  </si>
  <si>
    <t>Taxa de juros a.m.:</t>
  </si>
  <si>
    <t>Pagamentos mensais: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</si>
</sst>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/>
    <xf numFmtId="44" fontId="2" fillId="0" borderId="1" xfId="2" applyFont="1" applyBorder="1"/>
    <xf numFmtId="10" fontId="2" fillId="0" borderId="1" xfId="0" applyNumberFormat="1" applyFont="1" applyBorder="1"/>
    <xf numFmtId="9" fontId="2" fillId="0" borderId="1" xfId="0" applyNumberFormat="1" applyFont="1" applyBorder="1"/>
    <xf numFmtId="8" fontId="2" fillId="3" borderId="1" xfId="0" applyNumberFormat="1" applyFont="1" applyFill="1" applyBorder="1"/>
    <xf numFmtId="8" fontId="2" fillId="3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9" fontId="2" fillId="0" borderId="1" xfId="0" applyNumberFormat="1" applyFont="1" applyBorder="1" applyAlignment="1">
      <alignment horizontal="right"/>
    </xf>
    <xf numFmtId="44" fontId="2" fillId="0" borderId="1" xfId="2" applyFont="1" applyBorder="1" applyAlignment="1">
      <alignment horizontal="right"/>
    </xf>
    <xf numFmtId="0" fontId="0" fillId="0" borderId="0" xfId="0" applyAlignment="1"/>
    <xf numFmtId="10" fontId="2" fillId="3" borderId="1" xfId="0" applyNumberFormat="1" applyFont="1" applyFill="1" applyBorder="1"/>
    <xf numFmtId="43" fontId="2" fillId="0" borderId="1" xfId="1" applyFont="1" applyBorder="1"/>
    <xf numFmtId="1" fontId="0" fillId="0" borderId="0" xfId="1" applyNumberFormat="1" applyFont="1"/>
    <xf numFmtId="1" fontId="2" fillId="3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log.luz.vc/wp-content/uploads/2014/06/FF_1.pn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364766</xdr:colOff>
      <xdr:row>0</xdr:row>
      <xdr:rowOff>181223</xdr:rowOff>
    </xdr:from>
    <xdr:to>
      <xdr:col>9</xdr:col>
      <xdr:colOff>219987</xdr:colOff>
      <xdr:row>7</xdr:row>
      <xdr:rowOff>131610</xdr:rowOff>
    </xdr:to>
    <xdr:pic>
      <xdr:nvPicPr>
        <xdr:cNvPr id="2" name="Imagem 1" descr="FF_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E94F65-1CCA-4AFF-920D-B35CEF118753}"/>
            </a:ext>
          </a:extLst>
        </xdr:cNvPr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69" t="44816" r="39198" b="16690"/>
        <a:stretch/>
      </xdr:blipFill>
      <xdr:spPr bwMode="auto">
        <a:xfrm>
          <a:off x="4489505" y="181223"/>
          <a:ext cx="3532699" cy="182225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840827</xdr:colOff>
      <xdr:row>7</xdr:row>
      <xdr:rowOff>111516</xdr:rowOff>
    </xdr:from>
    <xdr:to>
      <xdr:col>2</xdr:col>
      <xdr:colOff>602702</xdr:colOff>
      <xdr:row>15</xdr:row>
      <xdr:rowOff>168919</xdr:rowOff>
    </xdr:to>
    <xdr:pic>
      <xdr:nvPicPr>
        <xdr:cNvPr id="2" name="Imagem 1" descr="FF_2">
          <a:extLst>
            <a:ext uri="{FF2B5EF4-FFF2-40B4-BE49-F238E27FC236}">
              <a16:creationId xmlns:a16="http://schemas.microsoft.com/office/drawing/2014/main" id="{D3124C41-5B2D-4CE6-88AB-9FADDDC86B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18" t="30388" r="40528" b="16723"/>
        <a:stretch/>
      </xdr:blipFill>
      <xdr:spPr bwMode="auto">
        <a:xfrm>
          <a:off x="1451741" y="1970533"/>
          <a:ext cx="1765409" cy="1581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127635</xdr:colOff>
      <xdr:row>0</xdr:row>
      <xdr:rowOff>0</xdr:rowOff>
    </xdr:from>
    <xdr:to>
      <xdr:col>9</xdr:col>
      <xdr:colOff>592455</xdr:colOff>
      <xdr:row>12</xdr:row>
      <xdr:rowOff>111425</xdr:rowOff>
    </xdr:to>
    <xdr:pic>
      <xdr:nvPicPr>
        <xdr:cNvPr id="2" name="Imagem 1" descr="FF_3">
          <a:extLst>
            <a:ext uri="{FF2B5EF4-FFF2-40B4-BE49-F238E27FC236}">
              <a16:creationId xmlns:a16="http://schemas.microsoft.com/office/drawing/2014/main" id="{5611BE26-6A60-4A1D-AA4B-7E20563071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457" t="29578" r="38381" b="16471"/>
        <a:stretch/>
      </xdr:blipFill>
      <xdr:spPr bwMode="auto">
        <a:xfrm>
          <a:off x="5204460" y="0"/>
          <a:ext cx="3512820" cy="298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59531</xdr:colOff>
      <xdr:row>7</xdr:row>
      <xdr:rowOff>160258</xdr:rowOff>
    </xdr:from>
    <xdr:to>
      <xdr:col>2</xdr:col>
      <xdr:colOff>2352687</xdr:colOff>
      <xdr:row>20</xdr:row>
      <xdr:rowOff>73104</xdr:rowOff>
    </xdr:to>
    <xdr:pic>
      <xdr:nvPicPr>
        <xdr:cNvPr id="3" name="Imagem 2" descr="FF_4">
          <a:extLst>
            <a:ext uri="{FF2B5EF4-FFF2-40B4-BE49-F238E27FC236}">
              <a16:creationId xmlns:a16="http://schemas.microsoft.com/office/drawing/2014/main" id="{6D6E0090-5795-4C7E-993F-E4F182238D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27" t="45005" r="36843" b="15320"/>
        <a:stretch/>
      </xdr:blipFill>
      <xdr:spPr bwMode="auto">
        <a:xfrm>
          <a:off x="666750" y="2029539"/>
          <a:ext cx="3989796" cy="2389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192076</xdr:colOff>
      <xdr:row>1</xdr:row>
      <xdr:rowOff>191025</xdr:rowOff>
    </xdr:from>
    <xdr:to>
      <xdr:col>10</xdr:col>
      <xdr:colOff>354202</xdr:colOff>
      <xdr:row>11</xdr:row>
      <xdr:rowOff>177361</xdr:rowOff>
    </xdr:to>
    <xdr:pic>
      <xdr:nvPicPr>
        <xdr:cNvPr id="2" name="Imagem 1" descr="FF_5">
          <a:extLst>
            <a:ext uri="{FF2B5EF4-FFF2-40B4-BE49-F238E27FC236}">
              <a16:creationId xmlns:a16="http://schemas.microsoft.com/office/drawing/2014/main" id="{2C7428CB-BABD-477E-A1FD-FD4A45BB13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03" t="39884" r="38480" b="19462"/>
        <a:stretch/>
      </xdr:blipFill>
      <xdr:spPr bwMode="auto">
        <a:xfrm>
          <a:off x="5033404" y="381525"/>
          <a:ext cx="3827608" cy="2416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2:C6"/>
  <sheetViews>
    <sheetView zoomScale="130" zoomScaleNormal="130" workbookViewId="0">
      <selection activeCell="C7" sqref="C7"/>
    </sheetView>
  </sheetViews>
  <sheetFormatPr defaultRowHeight="15" x14ac:dyDescent="0.25"/>
  <cols>
    <col min="2" max="2" width="29.140625" bestFit="1" customWidth="1"/>
    <col min="3" max="3" width="23.42578125" bestFit="1" customWidth="1"/>
  </cols>
  <sheetData>
    <row r="2" spans="2:3" ht="23.25" x14ac:dyDescent="0.35">
      <c r="B2" s="15" t="s">
        <v>0</v>
      </c>
      <c r="C2" s="15"/>
    </row>
    <row r="3" spans="2:3" ht="23.25" x14ac:dyDescent="0.35">
      <c r="B3" s="1" t="s">
        <v>2</v>
      </c>
      <c r="C3" s="2">
        <v>150000</v>
      </c>
    </row>
    <row r="4" spans="2:3" ht="23.25" x14ac:dyDescent="0.35">
      <c r="B4" s="1" t="s">
        <v>3</v>
      </c>
      <c r="C4" s="1">
        <v>12</v>
      </c>
    </row>
    <row r="5" spans="2:3" ht="23.25" x14ac:dyDescent="0.35">
      <c r="B5" s="1" t="s">
        <v>4</v>
      </c>
      <c r="C5" s="3">
        <v>6.5000000000000002E-2</v>
      </c>
    </row>
    <row r="6" spans="2:3" ht="23.25" x14ac:dyDescent="0.35">
      <c r="B6" s="1" t="s">
        <v>1</v>
      </c>
      <c r="C6" s="5">
        <f>FV(C5,C4,,-C3)</f>
        <v>319364.43623177067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3:C7"/>
  <sheetViews>
    <sheetView topLeftCell="A2" zoomScale="145" zoomScaleNormal="145" workbookViewId="0">
      <selection activeCell="C5" sqref="C5"/>
    </sheetView>
  </sheetViews>
  <sheetFormatPr defaultRowHeight="15" x14ac:dyDescent="0.25"/>
  <cols>
    <col min="2" max="2" width="30" bestFit="1" customWidth="1"/>
    <col min="3" max="3" width="24.140625" bestFit="1" customWidth="1"/>
  </cols>
  <sheetData>
    <row r="3" spans="2:3" ht="23.25" x14ac:dyDescent="0.35">
      <c r="B3" s="16" t="s">
        <v>5</v>
      </c>
      <c r="C3" s="16"/>
    </row>
    <row r="4" spans="2:3" ht="23.25" x14ac:dyDescent="0.35">
      <c r="B4" s="1" t="s">
        <v>2</v>
      </c>
      <c r="C4" s="6">
        <f>PV(C6,C5,,C7)</f>
        <v>-93258.223190826742</v>
      </c>
    </row>
    <row r="5" spans="2:3" ht="23.25" x14ac:dyDescent="0.35">
      <c r="B5" s="1" t="s">
        <v>3</v>
      </c>
      <c r="C5" s="7">
        <v>24</v>
      </c>
    </row>
    <row r="6" spans="2:3" ht="23.25" x14ac:dyDescent="0.35">
      <c r="B6" s="1" t="s">
        <v>6</v>
      </c>
      <c r="C6" s="8">
        <v>0.02</v>
      </c>
    </row>
    <row r="7" spans="2:3" ht="23.25" x14ac:dyDescent="0.35">
      <c r="B7" s="1" t="s">
        <v>7</v>
      </c>
      <c r="C7" s="9">
        <v>150000</v>
      </c>
    </row>
  </sheetData>
  <mergeCells count="1">
    <mergeCell ref="B3:C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B3:D7"/>
  <sheetViews>
    <sheetView zoomScale="130" zoomScaleNormal="130" workbookViewId="0">
      <selection activeCell="C8" sqref="C8"/>
    </sheetView>
  </sheetViews>
  <sheetFormatPr defaultRowHeight="15" x14ac:dyDescent="0.25"/>
  <cols>
    <col min="2" max="2" width="34.42578125" customWidth="1"/>
    <col min="3" max="3" width="23.42578125" bestFit="1" customWidth="1"/>
  </cols>
  <sheetData>
    <row r="3" spans="2:4" ht="28.5" x14ac:dyDescent="0.45">
      <c r="B3" s="17" t="s">
        <v>8</v>
      </c>
      <c r="C3" s="17"/>
      <c r="D3" s="10"/>
    </row>
    <row r="4" spans="2:4" ht="23.25" x14ac:dyDescent="0.35">
      <c r="B4" s="1" t="s">
        <v>9</v>
      </c>
      <c r="C4" s="2">
        <v>-100000</v>
      </c>
    </row>
    <row r="5" spans="2:4" ht="23.25" x14ac:dyDescent="0.35">
      <c r="B5" s="1" t="s">
        <v>3</v>
      </c>
      <c r="C5" s="1">
        <v>12</v>
      </c>
    </row>
    <row r="6" spans="2:4" ht="23.25" x14ac:dyDescent="0.35">
      <c r="B6" s="1" t="s">
        <v>1</v>
      </c>
      <c r="C6" s="2">
        <v>210200</v>
      </c>
    </row>
    <row r="7" spans="2:4" ht="23.25" x14ac:dyDescent="0.35">
      <c r="B7" s="1" t="s">
        <v>10</v>
      </c>
      <c r="C7" s="11">
        <f>RATE(C5,,C4,C6)</f>
        <v>6.3863868262009973E-2</v>
      </c>
    </row>
  </sheetData>
  <mergeCells count="1">
    <mergeCell ref="B3:C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3:D8"/>
  <sheetViews>
    <sheetView tabSelected="1" zoomScale="160" zoomScaleNormal="160" workbookViewId="0">
      <selection activeCell="D9" sqref="D9"/>
    </sheetView>
  </sheetViews>
  <sheetFormatPr defaultRowHeight="15" x14ac:dyDescent="0.25"/>
  <cols>
    <col min="2" max="2" width="25.42578125" bestFit="1" customWidth="1"/>
    <col min="3" max="3" width="43" customWidth="1"/>
    <col min="4" max="4" width="10.42578125" customWidth="1"/>
  </cols>
  <sheetData>
    <row r="3" spans="2:4" ht="23.25" x14ac:dyDescent="0.35">
      <c r="B3" s="18" t="s">
        <v>11</v>
      </c>
      <c r="C3" s="18"/>
      <c r="D3" s="10"/>
    </row>
    <row r="4" spans="2:4" ht="23.25" x14ac:dyDescent="0.35">
      <c r="B4" s="1" t="s">
        <v>12</v>
      </c>
      <c r="C4" s="12">
        <v>-2000</v>
      </c>
    </row>
    <row r="5" spans="2:4" ht="23.25" x14ac:dyDescent="0.35">
      <c r="B5" s="1" t="s">
        <v>13</v>
      </c>
      <c r="C5" s="12">
        <v>10000</v>
      </c>
    </row>
    <row r="6" spans="2:4" ht="23.25" x14ac:dyDescent="0.35">
      <c r="B6" s="1" t="s">
        <v>10</v>
      </c>
      <c r="C6" s="4">
        <v>0.2</v>
      </c>
    </row>
    <row r="7" spans="2:4" ht="23.25" x14ac:dyDescent="0.35">
      <c r="B7" s="1" t="s">
        <v>14</v>
      </c>
      <c r="C7" s="14">
        <f>NPER(C6,,C4,C5)</f>
        <v>8.8274691195894057</v>
      </c>
    </row>
    <row r="8" spans="2:4" x14ac:dyDescent="0.25">
      <c r="C8" s="13"/>
    </row>
  </sheetData>
  <mergeCells count="1">
    <mergeCell ref="B3:C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B2:C6"/>
  <sheetViews>
    <sheetView zoomScale="160" zoomScaleNormal="160" workbookViewId="0">
      <selection activeCell="C7" sqref="C7"/>
    </sheetView>
  </sheetViews>
  <sheetFormatPr defaultRowHeight="15" x14ac:dyDescent="0.25"/>
  <cols>
    <col min="2" max="2" width="33.28515625" customWidth="1"/>
    <col min="3" max="3" width="21.7109375" bestFit="1" customWidth="1"/>
  </cols>
  <sheetData>
    <row r="2" spans="2:3" ht="23.25" x14ac:dyDescent="0.35">
      <c r="B2" s="16" t="s">
        <v>15</v>
      </c>
      <c r="C2" s="16"/>
    </row>
    <row r="3" spans="2:3" ht="23.25" x14ac:dyDescent="0.35">
      <c r="B3" s="1" t="s">
        <v>16</v>
      </c>
      <c r="C3" s="2">
        <v>70000</v>
      </c>
    </row>
    <row r="4" spans="2:3" ht="23.25" x14ac:dyDescent="0.35">
      <c r="B4" s="1" t="s">
        <v>17</v>
      </c>
      <c r="C4" s="1">
        <v>30</v>
      </c>
    </row>
    <row r="5" spans="2:3" ht="23.25" x14ac:dyDescent="0.35">
      <c r="B5" s="1" t="s">
        <v>18</v>
      </c>
      <c r="C5" s="3">
        <v>5.0000000000000001E-3</v>
      </c>
    </row>
    <row r="6" spans="2:3" ht="23.25" x14ac:dyDescent="0.35">
      <c r="B6" s="1" t="s">
        <v>19</v>
      </c>
      <c r="C6" s="5">
        <f>PMT(C5,C4,-C3)</f>
        <v>2518.5242889679621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ValorFuturo</vt:lpstr>
      <vt:lpstr>ValorPresente</vt:lpstr>
      <vt:lpstr>Taxa</vt:lpstr>
      <vt:lpstr>NºPeriodos</vt:lpstr>
      <vt:lpstr>Pagamentos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WILCK GOMES DE OLIVEIRA</cp:lastModifiedBy>
  <dcterms:created xsi:type="dcterms:W3CDTF">2018-07-04T18:52:12Z</dcterms:created>
  <dcterms:modified xsi:type="dcterms:W3CDTF">2026-03-26T00:37:27Z</dcterms:modified>
</cp:coreProperties>
</file>