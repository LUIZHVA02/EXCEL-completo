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3 - FUNÇÕES DE TEXTO E DATA\"/>
    </mc:Choice>
  </mc:AlternateContent>
  <xr:revisionPtr revIDLastSave="0" documentId="13_ncr:1_{BC8542A9-DC98-4849-A5C5-29EB83ACAFD1}" xr6:coauthVersionLast="36" xr6:coauthVersionMax="36" xr10:uidLastSave="{00000000-0000-0000-0000-000000000000}"/>
  <bookViews>
    <workbookView xWindow="0" yWindow="0" windowWidth="28800" windowHeight="12105" activeTab="2" xr2:uid="{D3F35059-5AC7-44FF-9EA5-8241CDA4E646}"/>
  </bookViews>
  <sheets>
    <sheet name="FUNÇÕES DATA 1" sheetId="1" r:id="rId1"/>
    <sheet name="FUNÇÕES DATA 2" sheetId="2" r:id="rId2"/>
    <sheet name="FUNÇÕES DE HORA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3" l="1"/>
  <c r="B3" i="3" s="1"/>
  <c r="G4" i="1"/>
  <c r="G5" i="1"/>
  <c r="G6" i="1"/>
  <c r="G7" i="1"/>
  <c r="G8" i="1"/>
  <c r="G3" i="1"/>
  <c r="F4" i="1"/>
  <c r="F5" i="1"/>
  <c r="F6" i="1"/>
  <c r="F7" i="1"/>
  <c r="F8" i="1"/>
  <c r="F3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E3" i="1"/>
  <c r="D3" i="1"/>
  <c r="C3" i="1"/>
  <c r="B5" i="3" l="1"/>
  <c r="B4" i="3"/>
  <c r="B6" i="3" l="1"/>
  <c r="B6" i="2" l="1"/>
  <c r="B5" i="2"/>
  <c r="C4" i="2" s="1"/>
  <c r="B4" i="2"/>
  <c r="B8" i="2" s="1"/>
  <c r="D5" i="2" l="1"/>
  <c r="C5" i="2"/>
  <c r="E10" i="2"/>
  <c r="B10" i="2"/>
  <c r="E9" i="2"/>
  <c r="B9" i="2"/>
  <c r="E11" i="2" l="1"/>
</calcChain>
</file>

<file path=xl/sharedStrings.xml><?xml version="1.0" encoding="utf-8"?>
<sst xmlns="http://schemas.openxmlformats.org/spreadsheetml/2006/main" count="40" uniqueCount="33">
  <si>
    <t>FUNÇÕES DE DATA</t>
  </si>
  <si>
    <t>NOME</t>
  </si>
  <si>
    <t>DATA DE NASCIMENTO</t>
  </si>
  <si>
    <t>ANO</t>
  </si>
  <si>
    <t>MÊS</t>
  </si>
  <si>
    <t xml:space="preserve">DIA </t>
  </si>
  <si>
    <t>IDADE</t>
  </si>
  <si>
    <t>Nº DE DIAS VIVIDOS</t>
  </si>
  <si>
    <t>AMALIA</t>
  </si>
  <si>
    <t>BRUNO</t>
  </si>
  <si>
    <t>DUARTE</t>
  </si>
  <si>
    <t>EDUARDO</t>
  </si>
  <si>
    <t>ROBERTA</t>
  </si>
  <si>
    <t>RODRIGO</t>
  </si>
  <si>
    <t>HOJE</t>
  </si>
  <si>
    <t>AGORA</t>
  </si>
  <si>
    <t>DATA COMPLETA</t>
  </si>
  <si>
    <t>DIA</t>
  </si>
  <si>
    <t>FUNÇÕES DE DATA E HORA</t>
  </si>
  <si>
    <t>MEU NASCIMENTO</t>
  </si>
  <si>
    <t>DIAS VIVIDOS</t>
  </si>
  <si>
    <t>MESES VIVIDOS</t>
  </si>
  <si>
    <t>ANOS VIVIDOS</t>
  </si>
  <si>
    <t>EXEMPLO:</t>
  </si>
  <si>
    <t>HORA</t>
  </si>
  <si>
    <t>MINUTO</t>
  </si>
  <si>
    <t>SEGUNDO</t>
  </si>
  <si>
    <t>TEMPO</t>
  </si>
  <si>
    <t>ATLETA</t>
  </si>
  <si>
    <t>CAREN</t>
  </si>
  <si>
    <t>RICARDO</t>
  </si>
  <si>
    <t>MARIANA</t>
  </si>
  <si>
    <t>HORA DE CHEGADA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</si>
</sst>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[$-416]mmmm\-yy;@"/>
    <numFmt numFmtId="166" formatCode="h:mm;@"/>
    <numFmt numFmtId="167" formatCode="[$-F400]h:mm:ss\ AM/PM"/>
    <numFmt numFmtId="168" formatCode="h:mm:ss;@"/>
    <numFmt numFmtId="169" formatCode="[$-409]h:mm\ AM/PM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Border="1"/>
    <xf numFmtId="14" fontId="0" fillId="0" borderId="1" xfId="0" applyNumberFormat="1" applyBorder="1"/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/>
    <xf numFmtId="0" fontId="1" fillId="3" borderId="1" xfId="0" applyFont="1" applyFill="1" applyBorder="1"/>
    <xf numFmtId="2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168" fontId="1" fillId="0" borderId="1" xfId="0" applyNumberFormat="1" applyFont="1" applyBorder="1" applyAlignment="1">
      <alignment horizontal="center"/>
    </xf>
    <xf numFmtId="21" fontId="0" fillId="0" borderId="1" xfId="0" applyNumberForma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vertical="center"/>
    </xf>
    <xf numFmtId="167" fontId="1" fillId="0" borderId="1" xfId="0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F56EF-05D5-44A4-8A57-62D43DEA2D37}">
  <dimension ref="A1:G10"/>
  <sheetViews>
    <sheetView zoomScale="145" zoomScaleNormal="145" workbookViewId="0">
      <selection activeCell="H7" sqref="H7"/>
    </sheetView>
  </sheetViews>
  <sheetFormatPr defaultRowHeight="15" x14ac:dyDescent="0.25"/>
  <cols>
    <col min="1" max="1" width="14.85546875" customWidth="1"/>
    <col min="2" max="2" width="25" customWidth="1"/>
    <col min="3" max="3" width="11" customWidth="1"/>
    <col min="4" max="4" width="9.42578125" customWidth="1"/>
    <col min="5" max="5" width="9" customWidth="1"/>
    <col min="6" max="6" width="26.140625" customWidth="1"/>
    <col min="7" max="7" width="23.42578125" customWidth="1"/>
  </cols>
  <sheetData>
    <row r="1" spans="1:7" ht="18.75" customHeight="1" thickTop="1" thickBot="1" x14ac:dyDescent="0.3">
      <c r="A1" s="26" t="s">
        <v>0</v>
      </c>
      <c r="B1" s="27"/>
      <c r="C1" s="27"/>
      <c r="D1" s="27"/>
      <c r="E1" s="27"/>
      <c r="F1" s="27"/>
      <c r="G1" s="28"/>
    </row>
    <row r="2" spans="1:7" ht="16.5" thickTop="1" thickBot="1" x14ac:dyDescent="0.3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</row>
    <row r="3" spans="1:7" ht="16.5" thickTop="1" thickBot="1" x14ac:dyDescent="0.3">
      <c r="A3" s="6" t="s">
        <v>8</v>
      </c>
      <c r="B3" s="5">
        <v>23525</v>
      </c>
      <c r="C3" s="9">
        <f>YEAR(B3)</f>
        <v>1964</v>
      </c>
      <c r="D3" s="2">
        <f>MONTH(B3)</f>
        <v>5</v>
      </c>
      <c r="E3" s="2">
        <f>DAY(B3)</f>
        <v>28</v>
      </c>
      <c r="F3" s="2">
        <f ca="1">DATEDIF(B3,TODAY(),"Y")</f>
        <v>61</v>
      </c>
      <c r="G3" s="32">
        <f ca="1">_xlfn.DAYS(TODAY(),B3)</f>
        <v>22574</v>
      </c>
    </row>
    <row r="4" spans="1:7" ht="16.5" thickTop="1" thickBot="1" x14ac:dyDescent="0.3">
      <c r="A4" s="6" t="s">
        <v>9</v>
      </c>
      <c r="B4" s="5">
        <v>30647</v>
      </c>
      <c r="C4" s="9">
        <f t="shared" ref="C4:C8" si="0">YEAR(B4)</f>
        <v>1983</v>
      </c>
      <c r="D4" s="2">
        <f t="shared" ref="D4:D8" si="1">MONTH(B4)</f>
        <v>11</v>
      </c>
      <c r="E4" s="2">
        <f t="shared" ref="E4:E8" si="2">DAY(B4)</f>
        <v>27</v>
      </c>
      <c r="F4" s="2">
        <f t="shared" ref="F4:F8" ca="1" si="3">DATEDIF(B4,TODAY(),"Y")</f>
        <v>42</v>
      </c>
      <c r="G4" s="32">
        <f t="shared" ref="G4:G8" ca="1" si="4">_xlfn.DAYS(TODAY(),B4)</f>
        <v>15452</v>
      </c>
    </row>
    <row r="5" spans="1:7" ht="16.5" thickTop="1" thickBot="1" x14ac:dyDescent="0.3">
      <c r="A5" s="6" t="s">
        <v>10</v>
      </c>
      <c r="B5" s="5">
        <v>25727</v>
      </c>
      <c r="C5" s="9">
        <f t="shared" si="0"/>
        <v>1970</v>
      </c>
      <c r="D5" s="2">
        <f t="shared" si="1"/>
        <v>6</v>
      </c>
      <c r="E5" s="2">
        <f t="shared" si="2"/>
        <v>8</v>
      </c>
      <c r="F5" s="2">
        <f t="shared" ca="1" si="3"/>
        <v>55</v>
      </c>
      <c r="G5" s="32">
        <f t="shared" ca="1" si="4"/>
        <v>20372</v>
      </c>
    </row>
    <row r="6" spans="1:7" ht="16.5" thickTop="1" thickBot="1" x14ac:dyDescent="0.3">
      <c r="A6" s="6" t="s">
        <v>11</v>
      </c>
      <c r="B6" s="5">
        <v>41011</v>
      </c>
      <c r="C6" s="9">
        <f t="shared" si="0"/>
        <v>2012</v>
      </c>
      <c r="D6" s="2">
        <f t="shared" si="1"/>
        <v>4</v>
      </c>
      <c r="E6" s="2">
        <f t="shared" si="2"/>
        <v>12</v>
      </c>
      <c r="F6" s="2">
        <f t="shared" ca="1" si="3"/>
        <v>13</v>
      </c>
      <c r="G6" s="32">
        <f t="shared" ca="1" si="4"/>
        <v>5088</v>
      </c>
    </row>
    <row r="7" spans="1:7" ht="16.5" thickTop="1" thickBot="1" x14ac:dyDescent="0.3">
      <c r="A7" s="6" t="s">
        <v>12</v>
      </c>
      <c r="B7" s="5">
        <v>42617</v>
      </c>
      <c r="C7" s="9">
        <f t="shared" si="0"/>
        <v>2016</v>
      </c>
      <c r="D7" s="2">
        <f t="shared" si="1"/>
        <v>9</v>
      </c>
      <c r="E7" s="2">
        <f t="shared" si="2"/>
        <v>4</v>
      </c>
      <c r="F7" s="2">
        <f t="shared" ca="1" si="3"/>
        <v>9</v>
      </c>
      <c r="G7" s="32">
        <f t="shared" ca="1" si="4"/>
        <v>3482</v>
      </c>
    </row>
    <row r="8" spans="1:7" ht="16.5" thickTop="1" thickBot="1" x14ac:dyDescent="0.3">
      <c r="A8" s="6" t="s">
        <v>13</v>
      </c>
      <c r="B8" s="5">
        <v>27264</v>
      </c>
      <c r="C8" s="9">
        <f t="shared" si="0"/>
        <v>1974</v>
      </c>
      <c r="D8" s="2">
        <f t="shared" si="1"/>
        <v>8</v>
      </c>
      <c r="E8" s="2">
        <f t="shared" si="2"/>
        <v>23</v>
      </c>
      <c r="F8" s="2">
        <f t="shared" ca="1" si="3"/>
        <v>51</v>
      </c>
      <c r="G8" s="32">
        <f t="shared" ca="1" si="4"/>
        <v>18835</v>
      </c>
    </row>
    <row r="9" spans="1:7" s="3" customFormat="1" ht="15.75" thickTop="1" x14ac:dyDescent="0.25"/>
    <row r="10" spans="1:7" x14ac:dyDescent="0.25">
      <c r="B10" s="10">
        <v>45447</v>
      </c>
    </row>
  </sheetData>
  <mergeCells count="1">
    <mergeCell ref="A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14816-6C1B-401C-9A63-DA366296F398}">
  <dimension ref="A1:E13"/>
  <sheetViews>
    <sheetView zoomScale="145" zoomScaleNormal="145" workbookViewId="0">
      <selection activeCell="F17" sqref="F17"/>
    </sheetView>
  </sheetViews>
  <sheetFormatPr defaultRowHeight="15" x14ac:dyDescent="0.25"/>
  <cols>
    <col min="1" max="1" width="16" bestFit="1" customWidth="1"/>
    <col min="2" max="2" width="34.5703125" bestFit="1" customWidth="1"/>
    <col min="3" max="3" width="12.140625" customWidth="1"/>
    <col min="4" max="4" width="17.7109375" bestFit="1" customWidth="1"/>
    <col min="5" max="5" width="39.5703125" customWidth="1"/>
  </cols>
  <sheetData>
    <row r="1" spans="1:5" ht="26.25" customHeight="1" thickTop="1" thickBot="1" x14ac:dyDescent="0.3">
      <c r="A1" s="29" t="s">
        <v>18</v>
      </c>
      <c r="B1" s="30"/>
      <c r="C1" s="30"/>
      <c r="D1" s="31"/>
    </row>
    <row r="2" spans="1:5" ht="15.75" thickTop="1" x14ac:dyDescent="0.25"/>
    <row r="3" spans="1:5" ht="15.75" thickBot="1" x14ac:dyDescent="0.3"/>
    <row r="4" spans="1:5" ht="16.5" thickTop="1" thickBot="1" x14ac:dyDescent="0.3">
      <c r="A4" s="13" t="s">
        <v>14</v>
      </c>
      <c r="B4" s="5">
        <f ca="1">TODAY()</f>
        <v>46099</v>
      </c>
      <c r="C4" s="16">
        <f ca="1">B5</f>
        <v>46099.909397222225</v>
      </c>
      <c r="D4" s="11"/>
    </row>
    <row r="5" spans="1:5" ht="16.5" thickTop="1" thickBot="1" x14ac:dyDescent="0.3">
      <c r="A5" s="13" t="s">
        <v>15</v>
      </c>
      <c r="B5" s="14">
        <f ca="1">NOW()</f>
        <v>46099.909397222225</v>
      </c>
      <c r="C5" s="17">
        <f ca="1">B5</f>
        <v>46099.909397222225</v>
      </c>
      <c r="D5" s="25">
        <f ca="1">B5</f>
        <v>46099.909397222225</v>
      </c>
    </row>
    <row r="6" spans="1:5" ht="16.5" thickTop="1" thickBot="1" x14ac:dyDescent="0.3">
      <c r="A6" s="13" t="s">
        <v>16</v>
      </c>
      <c r="B6" s="15">
        <f ca="1">TODAY()</f>
        <v>46099</v>
      </c>
    </row>
    <row r="7" spans="1:5" ht="16.5" thickTop="1" thickBot="1" x14ac:dyDescent="0.3"/>
    <row r="8" spans="1:5" ht="16.5" thickTop="1" thickBot="1" x14ac:dyDescent="0.3">
      <c r="A8" s="13" t="s">
        <v>17</v>
      </c>
      <c r="B8" s="2">
        <f ca="1">DAY(B4)</f>
        <v>18</v>
      </c>
      <c r="D8" s="13" t="s">
        <v>19</v>
      </c>
      <c r="E8" s="4">
        <v>38965</v>
      </c>
    </row>
    <row r="9" spans="1:5" ht="16.5" thickTop="1" thickBot="1" x14ac:dyDescent="0.3">
      <c r="A9" s="13" t="s">
        <v>4</v>
      </c>
      <c r="B9" s="2">
        <f ca="1">MONTH(B4)</f>
        <v>3</v>
      </c>
      <c r="D9" s="13" t="s">
        <v>20</v>
      </c>
      <c r="E9" s="1">
        <f ca="1">_xlfn.DAYS(B4,E8)</f>
        <v>7134</v>
      </c>
    </row>
    <row r="10" spans="1:5" ht="16.5" thickTop="1" thickBot="1" x14ac:dyDescent="0.3">
      <c r="A10" s="13" t="s">
        <v>3</v>
      </c>
      <c r="B10" s="2">
        <f ca="1">YEAR(B4)</f>
        <v>2026</v>
      </c>
      <c r="D10" s="13" t="s">
        <v>21</v>
      </c>
      <c r="E10" s="1">
        <f ca="1" xml:space="preserve"> (YEAR(B4) - YEAR(E8)) * 12 + MONTH(B4) - MONTH(E8)</f>
        <v>234</v>
      </c>
    </row>
    <row r="11" spans="1:5" ht="16.5" thickTop="1" thickBot="1" x14ac:dyDescent="0.3">
      <c r="D11" s="13" t="s">
        <v>22</v>
      </c>
      <c r="E11" s="1">
        <f ca="1">E10/12</f>
        <v>19.5</v>
      </c>
    </row>
    <row r="12" spans="1:5" ht="15.75" thickTop="1" x14ac:dyDescent="0.25"/>
    <row r="13" spans="1:5" x14ac:dyDescent="0.25">
      <c r="A13" s="10">
        <v>44487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12304-3EA9-4CC3-9DBE-711608E83CD1}">
  <dimension ref="A1:F13"/>
  <sheetViews>
    <sheetView tabSelected="1" zoomScale="160" zoomScaleNormal="160" workbookViewId="0">
      <selection activeCell="D5" sqref="D5"/>
    </sheetView>
  </sheetViews>
  <sheetFormatPr defaultRowHeight="15" x14ac:dyDescent="0.25"/>
  <cols>
    <col min="1" max="1" width="9.85546875" bestFit="1" customWidth="1"/>
    <col min="2" max="2" width="18.140625" bestFit="1" customWidth="1"/>
    <col min="3" max="3" width="10.28515625" customWidth="1"/>
    <col min="4" max="4" width="12" customWidth="1"/>
    <col min="5" max="5" width="12.28515625" customWidth="1"/>
    <col min="6" max="6" width="14.140625" customWidth="1"/>
  </cols>
  <sheetData>
    <row r="1" spans="1:6" ht="19.5" customHeight="1" thickTop="1" thickBot="1" x14ac:dyDescent="0.3">
      <c r="A1" s="23" t="s">
        <v>23</v>
      </c>
      <c r="B1" s="24">
        <f ca="1">NOW()</f>
        <v>46099.909397222225</v>
      </c>
    </row>
    <row r="2" spans="1:6" ht="16.5" thickTop="1" thickBot="1" x14ac:dyDescent="0.3"/>
    <row r="3" spans="1:6" ht="16.5" thickTop="1" thickBot="1" x14ac:dyDescent="0.3">
      <c r="A3" s="19" t="s">
        <v>24</v>
      </c>
      <c r="B3" s="7">
        <f ca="1">HOUR(B1)</f>
        <v>21</v>
      </c>
    </row>
    <row r="4" spans="1:6" ht="16.5" thickTop="1" thickBot="1" x14ac:dyDescent="0.3">
      <c r="A4" s="19" t="s">
        <v>25</v>
      </c>
      <c r="B4" s="7">
        <f ca="1">MINUTE(B1)</f>
        <v>49</v>
      </c>
    </row>
    <row r="5" spans="1:6" ht="16.5" thickTop="1" thickBot="1" x14ac:dyDescent="0.3">
      <c r="A5" s="19" t="s">
        <v>26</v>
      </c>
      <c r="B5" s="7">
        <f ca="1">SECOND(B1)</f>
        <v>32</v>
      </c>
    </row>
    <row r="6" spans="1:6" ht="16.5" thickTop="1" thickBot="1" x14ac:dyDescent="0.3">
      <c r="A6" s="19" t="s">
        <v>27</v>
      </c>
      <c r="B6" s="20">
        <f ca="1">TIME(B3,B4,B5)</f>
        <v>0.90939814814814823</v>
      </c>
    </row>
    <row r="7" spans="1:6" ht="16.5" thickTop="1" thickBot="1" x14ac:dyDescent="0.3"/>
    <row r="8" spans="1:6" ht="16.5" thickTop="1" thickBot="1" x14ac:dyDescent="0.3">
      <c r="A8" s="18" t="s">
        <v>28</v>
      </c>
      <c r="B8" s="18" t="s">
        <v>32</v>
      </c>
      <c r="C8" s="18" t="s">
        <v>24</v>
      </c>
      <c r="D8" s="18" t="s">
        <v>25</v>
      </c>
      <c r="E8" s="18" t="s">
        <v>26</v>
      </c>
      <c r="F8" s="18" t="s">
        <v>27</v>
      </c>
    </row>
    <row r="9" spans="1:6" ht="16.5" thickTop="1" thickBot="1" x14ac:dyDescent="0.3">
      <c r="A9" s="12" t="s">
        <v>29</v>
      </c>
      <c r="B9" s="21"/>
      <c r="C9" s="2"/>
      <c r="D9" s="2"/>
      <c r="E9" s="2"/>
      <c r="F9" s="22"/>
    </row>
    <row r="10" spans="1:6" ht="16.5" thickTop="1" thickBot="1" x14ac:dyDescent="0.3">
      <c r="A10" s="12" t="s">
        <v>30</v>
      </c>
      <c r="B10" s="21"/>
      <c r="C10" s="2"/>
      <c r="D10" s="2"/>
      <c r="E10" s="2"/>
      <c r="F10" s="22"/>
    </row>
    <row r="11" spans="1:6" ht="16.5" thickTop="1" thickBot="1" x14ac:dyDescent="0.3">
      <c r="A11" s="12" t="s">
        <v>13</v>
      </c>
      <c r="B11" s="21"/>
      <c r="C11" s="2"/>
      <c r="D11" s="2"/>
      <c r="E11" s="2"/>
      <c r="F11" s="22"/>
    </row>
    <row r="12" spans="1:6" ht="16.5" thickTop="1" thickBot="1" x14ac:dyDescent="0.3">
      <c r="A12" s="12" t="s">
        <v>31</v>
      </c>
      <c r="B12" s="21"/>
      <c r="C12" s="2"/>
      <c r="D12" s="2"/>
      <c r="E12" s="2"/>
      <c r="F12" s="22"/>
    </row>
    <row r="13" spans="1:6" ht="15.75" thickTop="1" x14ac:dyDescent="0.25"/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FUNÇÕES DATA 1</vt:lpstr>
      <vt:lpstr>FUNÇÕES DATA 2</vt:lpstr>
      <vt:lpstr>FUNÇÕES DE HORA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LINELSON PEREIRA DE LUCENA</dc:creator>
  <cp:lastModifiedBy>WILCK GOMES DE OLIVEIRA</cp:lastModifiedBy>
  <dcterms:created xsi:type="dcterms:W3CDTF">2021-06-19T13:30:47Z</dcterms:created>
  <dcterms:modified xsi:type="dcterms:W3CDTF">2026-03-19T00:50:59Z</dcterms:modified>
</cp:coreProperties>
</file>