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B900EB8-8365-4C34-961F-13B92B256829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Cenário Manual" sheetId="1" r:id="rId1"/>
    <sheet name="Cenário Automático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E4" i="2" s="1"/>
  <c r="F4" i="2" s="1"/>
  <c r="D16" i="1"/>
  <c r="E16" i="1" s="1"/>
  <c r="F16" i="1" s="1"/>
  <c r="D12" i="1"/>
  <c r="E12" i="1" s="1"/>
  <c r="F12" i="1" s="1"/>
  <c r="D8" i="1"/>
  <c r="D4" i="1"/>
  <c r="F4" i="1" s="1"/>
  <c r="E4" i="1"/>
  <c r="E8" i="1" l="1"/>
  <c r="F8" i="1" s="1"/>
</calcChain>
</file>

<file path=xl/sharedStrings.xml><?xml version="1.0" encoding="utf-8"?>
<sst xmlns="http://schemas.openxmlformats.org/spreadsheetml/2006/main" count="30" uniqueCount="9">
  <si>
    <t>Produto</t>
  </si>
  <si>
    <t>Preço</t>
  </si>
  <si>
    <t>Receita</t>
  </si>
  <si>
    <t>Despesa</t>
  </si>
  <si>
    <t>Lucro</t>
  </si>
  <si>
    <t>Situação Atual</t>
  </si>
  <si>
    <t>Situação Otimista</t>
  </si>
  <si>
    <t>Situação Pessimista</t>
  </si>
  <si>
    <t>Situação acima da expectativa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</si>
</sst>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gradientFill degree="270">
        <stop position="0">
          <color theme="7" tint="0.80001220740379042"/>
        </stop>
        <stop position="1">
          <color theme="4"/>
        </stop>
      </gradient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theme="0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n">
        <color indexed="64"/>
      </top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44" fontId="0" fillId="5" borderId="8" xfId="1" applyFont="1" applyFill="1" applyBorder="1" applyAlignment="1">
      <alignment horizontal="center" vertical="center"/>
    </xf>
    <xf numFmtId="44" fontId="0" fillId="5" borderId="9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2" fillId="3" borderId="4" xfId="0" applyFont="1" applyFill="1" applyBorder="1" applyAlignment="1">
      <alignment horizontal="centerContinuous"/>
    </xf>
    <xf numFmtId="44" fontId="0" fillId="5" borderId="8" xfId="0" applyNumberFormat="1" applyFill="1" applyBorder="1" applyAlignment="1">
      <alignment horizontal="center" vertical="center"/>
    </xf>
    <xf numFmtId="44" fontId="0" fillId="5" borderId="9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4</xdr:row>
      <xdr:rowOff>152400</xdr:rowOff>
    </xdr:from>
    <xdr:to>
      <xdr:col>3</xdr:col>
      <xdr:colOff>409575</xdr:colOff>
      <xdr:row>7</xdr:row>
      <xdr:rowOff>161925</xdr:rowOff>
    </xdr:to>
    <xdr:sp macro="[0]!Cenário_Situação_Atual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6B449C7-515D-46AA-8D30-E94CF2048F9D}"/>
            </a:ext>
          </a:extLst>
        </xdr:cNvPr>
        <xdr:cNvSpPr/>
      </xdr:nvSpPr>
      <xdr:spPr>
        <a:xfrm>
          <a:off x="590550" y="942975"/>
          <a:ext cx="2362200" cy="590550"/>
        </a:xfrm>
        <a:prstGeom prst="roundRect">
          <a:avLst/>
        </a:prstGeom>
        <a:solidFill>
          <a:schemeClr val="accent5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Situação Atual</a:t>
          </a:r>
        </a:p>
      </xdr:txBody>
    </xdr:sp>
    <xdr:clientData/>
  </xdr:twoCellAnchor>
  <xdr:twoCellAnchor>
    <xdr:from>
      <xdr:col>3</xdr:col>
      <xdr:colOff>523875</xdr:colOff>
      <xdr:row>4</xdr:row>
      <xdr:rowOff>152400</xdr:rowOff>
    </xdr:from>
    <xdr:to>
      <xdr:col>5</xdr:col>
      <xdr:colOff>962025</xdr:colOff>
      <xdr:row>7</xdr:row>
      <xdr:rowOff>161925</xdr:rowOff>
    </xdr:to>
    <xdr:sp macro="[0]!Cenário_Situação_Otimista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2A10BA5-4925-48AA-9591-387952A90315}"/>
            </a:ext>
          </a:extLst>
        </xdr:cNvPr>
        <xdr:cNvSpPr/>
      </xdr:nvSpPr>
      <xdr:spPr>
        <a:xfrm>
          <a:off x="3067050" y="942975"/>
          <a:ext cx="2362200" cy="590550"/>
        </a:xfrm>
        <a:prstGeom prst="roundRect">
          <a:avLst/>
        </a:prstGeom>
        <a:solidFill>
          <a:schemeClr val="accent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Situação Otimista</a:t>
          </a:r>
        </a:p>
      </xdr:txBody>
    </xdr:sp>
    <xdr:clientData/>
  </xdr:twoCellAnchor>
  <xdr:twoCellAnchor>
    <xdr:from>
      <xdr:col>0</xdr:col>
      <xdr:colOff>561975</xdr:colOff>
      <xdr:row>8</xdr:row>
      <xdr:rowOff>114300</xdr:rowOff>
    </xdr:from>
    <xdr:to>
      <xdr:col>3</xdr:col>
      <xdr:colOff>381000</xdr:colOff>
      <xdr:row>11</xdr:row>
      <xdr:rowOff>133350</xdr:rowOff>
    </xdr:to>
    <xdr:sp macro="[0]!Cenário_Situação_Pessimista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9BAD7AE-C620-4BA4-A9F8-1F102A298A4B}"/>
            </a:ext>
          </a:extLst>
        </xdr:cNvPr>
        <xdr:cNvSpPr/>
      </xdr:nvSpPr>
      <xdr:spPr>
        <a:xfrm>
          <a:off x="561975" y="1676400"/>
          <a:ext cx="2362200" cy="590550"/>
        </a:xfrm>
        <a:prstGeom prst="roundRect">
          <a:avLst/>
        </a:prstGeom>
        <a:solidFill>
          <a:srgbClr val="EF4747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Situação Pessimista</a:t>
          </a:r>
        </a:p>
      </xdr:txBody>
    </xdr:sp>
    <xdr:clientData/>
  </xdr:twoCellAnchor>
  <xdr:twoCellAnchor>
    <xdr:from>
      <xdr:col>3</xdr:col>
      <xdr:colOff>533400</xdr:colOff>
      <xdr:row>8</xdr:row>
      <xdr:rowOff>133350</xdr:rowOff>
    </xdr:from>
    <xdr:to>
      <xdr:col>5</xdr:col>
      <xdr:colOff>971550</xdr:colOff>
      <xdr:row>11</xdr:row>
      <xdr:rowOff>152400</xdr:rowOff>
    </xdr:to>
    <xdr:sp macro="[0]!Cenário_Situação_acima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2DF89C12-16B6-466D-8F69-005D689C427E}"/>
            </a:ext>
          </a:extLst>
        </xdr:cNvPr>
        <xdr:cNvSpPr/>
      </xdr:nvSpPr>
      <xdr:spPr>
        <a:xfrm>
          <a:off x="3076575" y="1695450"/>
          <a:ext cx="2362200" cy="590550"/>
        </a:xfrm>
        <a:prstGeom prst="roundRect">
          <a:avLst/>
        </a:prstGeom>
        <a:solidFill>
          <a:srgbClr val="92D05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Situação acima da expectativa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7"/>
  <sheetViews>
    <sheetView workbookViewId="0">
      <selection activeCell="G36" sqref="G36"/>
    </sheetView>
  </sheetViews>
  <sheetFormatPr defaultRowHeight="15" x14ac:dyDescent="0.25"/>
  <cols>
    <col min="1" max="1" width="9.140625" style="1"/>
    <col min="2" max="2" width="12.42578125" style="1" customWidth="1"/>
    <col min="3" max="3" width="14.42578125" style="1" customWidth="1"/>
    <col min="4" max="4" width="17.28515625" style="1" customWidth="1"/>
    <col min="5" max="5" width="14.28515625" style="1" bestFit="1" customWidth="1"/>
    <col min="6" max="6" width="15.42578125" style="1" customWidth="1"/>
    <col min="7" max="16384" width="9.140625" style="1"/>
  </cols>
  <sheetData>
    <row r="1" spans="2:6" ht="15.75" thickBot="1" x14ac:dyDescent="0.3"/>
    <row r="2" spans="2:6" ht="15.75" thickTop="1" x14ac:dyDescent="0.25">
      <c r="B2" s="2" t="s">
        <v>5</v>
      </c>
      <c r="C2" s="3"/>
      <c r="D2" s="3"/>
      <c r="E2" s="3"/>
      <c r="F2" s="4"/>
    </row>
    <row r="3" spans="2:6" x14ac:dyDescent="0.25">
      <c r="B3" s="5" t="s">
        <v>0</v>
      </c>
      <c r="C3" s="6" t="s">
        <v>1</v>
      </c>
      <c r="D3" s="6" t="s">
        <v>2</v>
      </c>
      <c r="E3" s="6" t="s">
        <v>3</v>
      </c>
      <c r="F3" s="7" t="s">
        <v>4</v>
      </c>
    </row>
    <row r="4" spans="2:6" ht="15.75" thickBot="1" x14ac:dyDescent="0.3">
      <c r="B4" s="8">
        <v>1000</v>
      </c>
      <c r="C4" s="9">
        <v>14.9</v>
      </c>
      <c r="D4" s="9">
        <f>B4*C4</f>
        <v>14900</v>
      </c>
      <c r="E4" s="9">
        <f>D4*0.7</f>
        <v>10430</v>
      </c>
      <c r="F4" s="10">
        <f>D4-E4</f>
        <v>4470</v>
      </c>
    </row>
    <row r="5" spans="2:6" ht="16.5" thickTop="1" thickBot="1" x14ac:dyDescent="0.3"/>
    <row r="6" spans="2:6" ht="15.75" thickTop="1" x14ac:dyDescent="0.25">
      <c r="B6" s="2" t="s">
        <v>6</v>
      </c>
      <c r="C6" s="3"/>
      <c r="D6" s="3"/>
      <c r="E6" s="3"/>
      <c r="F6" s="4"/>
    </row>
    <row r="7" spans="2:6" x14ac:dyDescent="0.25">
      <c r="B7" s="5" t="s">
        <v>0</v>
      </c>
      <c r="C7" s="6" t="s">
        <v>1</v>
      </c>
      <c r="D7" s="6" t="s">
        <v>2</v>
      </c>
      <c r="E7" s="6" t="s">
        <v>3</v>
      </c>
      <c r="F7" s="7" t="s">
        <v>4</v>
      </c>
    </row>
    <row r="8" spans="2:6" ht="15.75" thickBot="1" x14ac:dyDescent="0.3">
      <c r="B8" s="8">
        <v>1800</v>
      </c>
      <c r="C8" s="9">
        <v>14.9</v>
      </c>
      <c r="D8" s="9">
        <f>B8*C8</f>
        <v>26820</v>
      </c>
      <c r="E8" s="9">
        <f>D8*0.7</f>
        <v>18774</v>
      </c>
      <c r="F8" s="10">
        <f>D8-E8</f>
        <v>8046</v>
      </c>
    </row>
    <row r="9" spans="2:6" ht="16.5" thickTop="1" thickBot="1" x14ac:dyDescent="0.3"/>
    <row r="10" spans="2:6" ht="15.75" thickTop="1" x14ac:dyDescent="0.25">
      <c r="B10" s="2" t="s">
        <v>7</v>
      </c>
      <c r="C10" s="3"/>
      <c r="D10" s="3"/>
      <c r="E10" s="3"/>
      <c r="F10" s="4"/>
    </row>
    <row r="11" spans="2:6" x14ac:dyDescent="0.25">
      <c r="B11" s="5" t="s">
        <v>0</v>
      </c>
      <c r="C11" s="6" t="s">
        <v>1</v>
      </c>
      <c r="D11" s="6" t="s">
        <v>2</v>
      </c>
      <c r="E11" s="6" t="s">
        <v>3</v>
      </c>
      <c r="F11" s="7" t="s">
        <v>4</v>
      </c>
    </row>
    <row r="12" spans="2:6" ht="15.75" thickBot="1" x14ac:dyDescent="0.3">
      <c r="B12" s="8">
        <v>200</v>
      </c>
      <c r="C12" s="9">
        <v>14.9</v>
      </c>
      <c r="D12" s="9">
        <f>B12*C12</f>
        <v>2980</v>
      </c>
      <c r="E12" s="9">
        <f>D12*0.7</f>
        <v>2086</v>
      </c>
      <c r="F12" s="10">
        <f>D12-E12</f>
        <v>894</v>
      </c>
    </row>
    <row r="13" spans="2:6" ht="16.5" thickTop="1" thickBot="1" x14ac:dyDescent="0.3"/>
    <row r="14" spans="2:6" ht="15.75" thickTop="1" x14ac:dyDescent="0.25">
      <c r="B14" s="2" t="s">
        <v>8</v>
      </c>
      <c r="C14" s="3"/>
      <c r="D14" s="3"/>
      <c r="E14" s="3"/>
      <c r="F14" s="4"/>
    </row>
    <row r="15" spans="2:6" x14ac:dyDescent="0.25">
      <c r="B15" s="5" t="s">
        <v>0</v>
      </c>
      <c r="C15" s="6" t="s">
        <v>1</v>
      </c>
      <c r="D15" s="6" t="s">
        <v>2</v>
      </c>
      <c r="E15" s="6" t="s">
        <v>3</v>
      </c>
      <c r="F15" s="7" t="s">
        <v>4</v>
      </c>
    </row>
    <row r="16" spans="2:6" ht="15.75" thickBot="1" x14ac:dyDescent="0.3">
      <c r="B16" s="8">
        <v>25000</v>
      </c>
      <c r="C16" s="9">
        <v>14.9</v>
      </c>
      <c r="D16" s="9">
        <f>B16*C16</f>
        <v>372500</v>
      </c>
      <c r="E16" s="9">
        <f>D16*0.7</f>
        <v>260749.99999999997</v>
      </c>
      <c r="F16" s="10">
        <f>D16-E16</f>
        <v>111750.00000000003</v>
      </c>
    </row>
    <row r="17" ht="15.75" thickTop="1" x14ac:dyDescent="0.25"/>
  </sheetData>
  <mergeCells count="4">
    <mergeCell ref="B2:F2"/>
    <mergeCell ref="B6:F6"/>
    <mergeCell ref="B10:F10"/>
    <mergeCell ref="B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DABA-57AC-484F-A56C-D642D6483DEA}">
  <dimension ref="B1:F5"/>
  <sheetViews>
    <sheetView tabSelected="1" workbookViewId="0">
      <selection activeCell="J13" sqref="J13"/>
    </sheetView>
  </sheetViews>
  <sheetFormatPr defaultRowHeight="15" x14ac:dyDescent="0.25"/>
  <cols>
    <col min="1" max="1" width="9.140625" style="1"/>
    <col min="2" max="2" width="13.7109375" style="1" bestFit="1" customWidth="1"/>
    <col min="3" max="3" width="15.28515625" style="1" customWidth="1"/>
    <col min="4" max="4" width="13.85546875" style="1" customWidth="1"/>
    <col min="5" max="6" width="15" style="1" customWidth="1"/>
    <col min="7" max="16384" width="9.140625" style="1"/>
  </cols>
  <sheetData>
    <row r="1" spans="2:6" ht="15.75" thickBot="1" x14ac:dyDescent="0.3"/>
    <row r="2" spans="2:6" ht="15.75" thickTop="1" x14ac:dyDescent="0.25">
      <c r="B2" s="11" t="s">
        <v>5</v>
      </c>
      <c r="C2" s="12"/>
      <c r="D2" s="12"/>
      <c r="E2" s="12"/>
      <c r="F2" s="13"/>
    </row>
    <row r="3" spans="2:6" x14ac:dyDescent="0.25">
      <c r="B3" s="5" t="s">
        <v>0</v>
      </c>
      <c r="C3" s="6" t="s">
        <v>1</v>
      </c>
      <c r="D3" s="6" t="s">
        <v>2</v>
      </c>
      <c r="E3" s="6" t="s">
        <v>3</v>
      </c>
      <c r="F3" s="7" t="s">
        <v>4</v>
      </c>
    </row>
    <row r="4" spans="2:6" ht="15.75" thickBot="1" x14ac:dyDescent="0.3">
      <c r="B4" s="8">
        <v>1000</v>
      </c>
      <c r="C4" s="9">
        <v>14.9</v>
      </c>
      <c r="D4" s="14">
        <f>B4*C4</f>
        <v>14900</v>
      </c>
      <c r="E4" s="14">
        <f>D4*0.7</f>
        <v>10430</v>
      </c>
      <c r="F4" s="15">
        <f>D4-E4</f>
        <v>4470</v>
      </c>
    </row>
    <row r="5" spans="2:6" ht="15.75" thickTop="1" x14ac:dyDescent="0.25"/>
  </sheetData>
  <scenarios current="0" show="0">
    <scenario name="Situação Atual" locked="1" count="2" user="Autor" comment="Criado por Autor em 30/03/2026_x000a_Alterado por Autor em 30/03/2026">
      <inputCells r="B2" val="Situação Atual"/>
      <inputCells r="B4" val="1000"/>
    </scenario>
    <scenario name="Situação Otimista" count="2" user="Autor" comment="Criado por Autor em 30/03/2026_x000a_Alterado por Autor em 30/03/2026">
      <inputCells r="B2" val="Situação Otimista"/>
      <inputCells r="B4" val="1800"/>
    </scenario>
    <scenario name="Situação Pessimista" locked="1" count="2" user="Autor" comment="Criado por Autor em 30/03/2026">
      <inputCells r="B2" val="Situação Pessimista"/>
      <inputCells r="B4" val="200"/>
    </scenario>
    <scenario name="Situação acima da expectativa" locked="1" count="2" user="Autor" comment="Criado por Autor em 30/03/2026">
      <inputCells r="B2" val="Situação acima da expectativa"/>
      <inputCells r="B4" val="25000"/>
    </scenario>
  </scenario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Cenário Manual</vt:lpstr>
      <vt:lpstr>Cenário Automático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2026-03-30T22:53:00Z</dcterms:modified>
</cp:coreProperties>
</file>