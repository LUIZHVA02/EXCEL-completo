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AULA 14 e 15 - TABELA DINÂMICA e FILTROS\"/>
    </mc:Choice>
  </mc:AlternateContent>
  <xr:revisionPtr revIDLastSave="0" documentId="13_ncr:1_{5129CFC8-3C85-4A1B-861F-25FC73934DF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BASE DE DADOS" sheetId="1" r:id="rId1"/>
    <sheet name="Planilha1" sheetId="2" r:id="rId2"/>
  </sheets>
  <definedNames>
    <definedName name="SegmentaçãodeDados_Data_Venda">#N/A</definedName>
    <definedName name="SegmentaçãodeDados_Depto.">#N/A</definedName>
    <definedName name="SegmentaçãodeDados_Produto">#N/A</definedName>
    <definedName name="SegmentaçãodeDados_Qtd">#N/A</definedName>
    <definedName name="SegmentaçãodeDados_Total">#N/A</definedName>
    <definedName name="SegmentaçãodeDados_Valor">#N/A</definedName>
    <definedName name="SegmentaçãodeDados_Vendedor">#N/A</definedName>
  </definedNames>
  <calcPr calcId="179021"/>
  <pivotCaches>
    <pivotCache cacheId="1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7" i="1" l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</calcChain>
</file>

<file path=xl/sharedStrings.xml><?xml version="1.0" encoding="utf-8"?>
<sst xmlns="http://schemas.openxmlformats.org/spreadsheetml/2006/main" count="359" uniqueCount="31">
  <si>
    <t>RELATÓRIO DE VENDAS</t>
  </si>
  <si>
    <t>Vendedor</t>
  </si>
  <si>
    <t>Depto.</t>
  </si>
  <si>
    <t>Data Venda</t>
  </si>
  <si>
    <t>Produto</t>
  </si>
  <si>
    <t>Valor</t>
  </si>
  <si>
    <t>Qtd</t>
  </si>
  <si>
    <t>Total</t>
  </si>
  <si>
    <t>Ana Maria</t>
  </si>
  <si>
    <t>Ótica</t>
  </si>
  <si>
    <t>Lente de Contato</t>
  </si>
  <si>
    <t>Óculos de Sol</t>
  </si>
  <si>
    <t>André Luiz</t>
  </si>
  <si>
    <t>Informática</t>
  </si>
  <si>
    <t>Pentium Dual Core</t>
  </si>
  <si>
    <t>Notebook</t>
  </si>
  <si>
    <t>Hard Disk 450 Gb</t>
  </si>
  <si>
    <t>Hard Disk 200 Gb</t>
  </si>
  <si>
    <t>Antônio Carlos</t>
  </si>
  <si>
    <t>Carlos Brandão</t>
  </si>
  <si>
    <t>Pack 10 DVD</t>
  </si>
  <si>
    <t>João Carlos</t>
  </si>
  <si>
    <t>José Augusto</t>
  </si>
  <si>
    <t>Placa de Som</t>
  </si>
  <si>
    <t>Maria Izabel</t>
  </si>
  <si>
    <t>Solange Brandão</t>
  </si>
  <si>
    <t>Total Geral</t>
  </si>
  <si>
    <t>Vendedores</t>
  </si>
  <si>
    <t>Quantidade</t>
  </si>
  <si>
    <t>Valor total</t>
  </si>
  <si>
    <t>Valor unit.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</si>
</sst>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([$R$ -416]* #,##0.00_);_([$R$ -416]* \(#,##0.00\);_([$R$ -416]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3" fillId="0" borderId="0" xfId="0" applyFont="1" applyFill="1" applyBorder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Continuous"/>
    </xf>
    <xf numFmtId="0" fontId="3" fillId="0" borderId="0" xfId="0" applyFont="1" applyFill="1" applyBorder="1" applyAlignment="1">
      <alignment horizontal="center"/>
    </xf>
    <xf numFmtId="0" fontId="3" fillId="0" borderId="4" xfId="0" applyFont="1" applyFill="1" applyBorder="1"/>
    <xf numFmtId="0" fontId="3" fillId="0" borderId="4" xfId="0" applyFont="1" applyFill="1" applyBorder="1" applyAlignment="1">
      <alignment horizontal="center"/>
    </xf>
    <xf numFmtId="14" fontId="3" fillId="0" borderId="4" xfId="0" applyNumberFormat="1" applyFont="1" applyFill="1" applyBorder="1" applyAlignment="1">
      <alignment horizontal="center"/>
    </xf>
    <xf numFmtId="164" fontId="3" fillId="0" borderId="4" xfId="0" applyNumberFormat="1" applyFont="1" applyFill="1" applyBorder="1"/>
    <xf numFmtId="44" fontId="3" fillId="0" borderId="4" xfId="1" applyFont="1" applyFill="1" applyBorder="1"/>
    <xf numFmtId="0" fontId="3" fillId="0" borderId="5" xfId="0" applyFont="1" applyFill="1" applyBorder="1"/>
    <xf numFmtId="0" fontId="3" fillId="0" borderId="5" xfId="0" applyFont="1" applyFill="1" applyBorder="1" applyAlignment="1">
      <alignment horizontal="center"/>
    </xf>
    <xf numFmtId="14" fontId="3" fillId="0" borderId="5" xfId="0" applyNumberFormat="1" applyFont="1" applyFill="1" applyBorder="1" applyAlignment="1">
      <alignment horizontal="center"/>
    </xf>
    <xf numFmtId="164" fontId="3" fillId="0" borderId="5" xfId="0" applyNumberFormat="1" applyFont="1" applyFill="1" applyBorder="1"/>
    <xf numFmtId="44" fontId="3" fillId="0" borderId="5" xfId="1" applyFont="1" applyFill="1" applyBorder="1"/>
    <xf numFmtId="0" fontId="3" fillId="0" borderId="5" xfId="0" applyFont="1" applyFill="1" applyBorder="1" applyAlignment="1">
      <alignment horizontal="left"/>
    </xf>
    <xf numFmtId="14" fontId="3" fillId="0" borderId="5" xfId="0" applyNumberFormat="1" applyFont="1" applyFill="1" applyBorder="1" applyAlignment="1">
      <alignment horizontal="left"/>
    </xf>
    <xf numFmtId="164" fontId="3" fillId="0" borderId="5" xfId="0" applyNumberFormat="1" applyFont="1" applyFill="1" applyBorder="1" applyAlignment="1">
      <alignment horizontal="left"/>
    </xf>
    <xf numFmtId="44" fontId="3" fillId="0" borderId="5" xfId="1" applyFont="1" applyFill="1" applyBorder="1" applyAlignment="1">
      <alignment horizontal="left"/>
    </xf>
    <xf numFmtId="0" fontId="4" fillId="2" borderId="6" xfId="0" applyFont="1" applyFill="1" applyBorder="1" applyAlignment="1">
      <alignment horizontal="center"/>
    </xf>
    <xf numFmtId="0" fontId="3" fillId="0" borderId="7" xfId="0" applyFont="1" applyFill="1" applyBorder="1"/>
    <xf numFmtId="0" fontId="3" fillId="0" borderId="7" xfId="0" applyFont="1" applyFill="1" applyBorder="1" applyAlignment="1">
      <alignment horizontal="center"/>
    </xf>
    <xf numFmtId="14" fontId="3" fillId="0" borderId="7" xfId="0" applyNumberFormat="1" applyFont="1" applyFill="1" applyBorder="1" applyAlignment="1">
      <alignment horizontal="center"/>
    </xf>
    <xf numFmtId="164" fontId="3" fillId="0" borderId="7" xfId="0" applyNumberFormat="1" applyFont="1" applyFill="1" applyBorder="1"/>
    <xf numFmtId="44" fontId="3" fillId="0" borderId="7" xfId="1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136"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([$R$ -416]* #,##0.00_);_([$R$ -416]* \(#,##0.00\);_([$R$ -416]* &quot;-&quot;??_);_(@_)"/>
      <fill>
        <patternFill patternType="none">
          <fgColor indexed="64"/>
          <bgColor indexed="65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thin">
          <color indexed="64"/>
        </top>
        <bottom style="hair">
          <color auto="1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13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theme" Target="theme/theme1.xml"/><Relationship Id="rId5" Type="http://schemas.microsoft.com/office/2007/relationships/slicerCache" Target="slicerCaches/slicerCache2.xml"/><Relationship Id="rId10" Type="http://schemas.microsoft.com/office/2007/relationships/slicerCache" Target="slicerCaches/slicerCache7.xml"/><Relationship Id="rId4" Type="http://schemas.microsoft.com/office/2007/relationships/slicerCache" Target="slicerCaches/slicerCache1.xml"/><Relationship Id="rId9" Type="http://schemas.microsoft.com/office/2007/relationships/slicerCache" Target="slicerCaches/slicerCache6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8</xdr:col>
      <xdr:colOff>190500</xdr:colOff>
      <xdr:row>15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Vendedor">
              <a:extLst>
                <a:ext uri="{FF2B5EF4-FFF2-40B4-BE49-F238E27FC236}">
                  <a16:creationId xmlns:a16="http://schemas.microsoft.com/office/drawing/2014/main" id="{BEB78212-D8C5-44BA-9D2F-E28AD47958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05425" y="381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209550</xdr:colOff>
      <xdr:row>2</xdr:row>
      <xdr:rowOff>0</xdr:rowOff>
    </xdr:from>
    <xdr:to>
      <xdr:col>10</xdr:col>
      <xdr:colOff>9525</xdr:colOff>
      <xdr:row>15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Depto.">
              <a:extLst>
                <a:ext uri="{FF2B5EF4-FFF2-40B4-BE49-F238E27FC236}">
                  <a16:creationId xmlns:a16="http://schemas.microsoft.com/office/drawing/2014/main" id="{F7CD1E20-9163-45BA-A832-432E9B793D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to.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53275" y="381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</xdr:row>
      <xdr:rowOff>0</xdr:rowOff>
    </xdr:from>
    <xdr:to>
      <xdr:col>12</xdr:col>
      <xdr:colOff>228600</xdr:colOff>
      <xdr:row>15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Data Venda">
              <a:extLst>
                <a:ext uri="{FF2B5EF4-FFF2-40B4-BE49-F238E27FC236}">
                  <a16:creationId xmlns:a16="http://schemas.microsoft.com/office/drawing/2014/main" id="{77D46E59-4DC9-4A0C-ACB6-13B27DBA71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Vend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10650" y="381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0</xdr:colOff>
      <xdr:row>16</xdr:row>
      <xdr:rowOff>0</xdr:rowOff>
    </xdr:from>
    <xdr:to>
      <xdr:col>8</xdr:col>
      <xdr:colOff>190500</xdr:colOff>
      <xdr:row>29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Produto">
              <a:extLst>
                <a:ext uri="{FF2B5EF4-FFF2-40B4-BE49-F238E27FC236}">
                  <a16:creationId xmlns:a16="http://schemas.microsoft.com/office/drawing/2014/main" id="{8661A82D-B720-40F2-AEB0-CCA932C84E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05425" y="3048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209550</xdr:colOff>
      <xdr:row>16</xdr:row>
      <xdr:rowOff>0</xdr:rowOff>
    </xdr:from>
    <xdr:to>
      <xdr:col>10</xdr:col>
      <xdr:colOff>9525</xdr:colOff>
      <xdr:row>29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Valor">
              <a:extLst>
                <a:ext uri="{FF2B5EF4-FFF2-40B4-BE49-F238E27FC236}">
                  <a16:creationId xmlns:a16="http://schemas.microsoft.com/office/drawing/2014/main" id="{962372FC-0F63-416A-B43F-B1354E9212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al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53275" y="3048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16</xdr:row>
      <xdr:rowOff>0</xdr:rowOff>
    </xdr:from>
    <xdr:to>
      <xdr:col>12</xdr:col>
      <xdr:colOff>228600</xdr:colOff>
      <xdr:row>29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Qtd">
              <a:extLst>
                <a:ext uri="{FF2B5EF4-FFF2-40B4-BE49-F238E27FC236}">
                  <a16:creationId xmlns:a16="http://schemas.microsoft.com/office/drawing/2014/main" id="{A765E592-9935-4F69-9733-8FDA0B2101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Qt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10650" y="3048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485775</xdr:colOff>
      <xdr:row>2</xdr:row>
      <xdr:rowOff>0</xdr:rowOff>
    </xdr:from>
    <xdr:to>
      <xdr:col>14</xdr:col>
      <xdr:colOff>571500</xdr:colOff>
      <xdr:row>29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Total">
              <a:extLst>
                <a:ext uri="{FF2B5EF4-FFF2-40B4-BE49-F238E27FC236}">
                  <a16:creationId xmlns:a16="http://schemas.microsoft.com/office/drawing/2014/main" id="{76F2089C-C35E-4540-AD16-E6186295312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ot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96625" y="381000"/>
              <a:ext cx="1828800" cy="514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LCK GOMES DE OLIVEIRA" refreshedDate="46105.81669097222" createdVersion="6" refreshedVersion="6" minRefreshableVersion="3" recordCount="104" xr:uid="{190F27A2-086E-440F-A47B-802A1A377F67}">
  <cacheSource type="worksheet">
    <worksheetSource name="Tabela1"/>
  </cacheSource>
  <cacheFields count="7">
    <cacheField name="Vendedor" numFmtId="0">
      <sharedItems count="8">
        <s v="Ana Maria"/>
        <s v="André Luiz"/>
        <s v="Antônio Carlos"/>
        <s v="Carlos Brandão"/>
        <s v="João Carlos"/>
        <s v="José Augusto"/>
        <s v="Maria Izabel"/>
        <s v="Solange Brandão"/>
      </sharedItems>
    </cacheField>
    <cacheField name="Depto." numFmtId="0">
      <sharedItems count="2">
        <s v="Ótica"/>
        <s v="Informática"/>
      </sharedItems>
    </cacheField>
    <cacheField name="Data Venda" numFmtId="14">
      <sharedItems containsSemiMixedTypes="0" containsNonDate="0" containsDate="1" containsString="0" minDate="2016-07-03T00:00:00" maxDate="2016-12-15T00:00:00" count="28">
        <d v="2016-08-12T00:00:00"/>
        <d v="2016-08-15T00:00:00"/>
        <d v="2016-10-12T00:00:00"/>
        <d v="2016-11-02T00:00:00"/>
        <d v="2016-11-10T00:00:00"/>
        <d v="2016-12-02T00:00:00"/>
        <d v="2016-12-05T00:00:00"/>
        <d v="2016-12-11T00:00:00"/>
        <d v="2016-12-14T00:00:00"/>
        <d v="2016-07-08T00:00:00"/>
        <d v="2016-08-07T00:00:00"/>
        <d v="2016-08-17T00:00:00"/>
        <d v="2016-10-17T00:00:00"/>
        <d v="2016-11-07T00:00:00"/>
        <d v="2016-12-08T00:00:00"/>
        <d v="2016-07-15T00:00:00"/>
        <d v="2016-09-05T00:00:00"/>
        <d v="2016-09-15T00:00:00"/>
        <d v="2016-08-05T00:00:00"/>
        <d v="2016-11-06T00:00:00"/>
        <d v="2016-11-12T00:00:00"/>
        <d v="2016-07-03T00:00:00"/>
        <d v="2016-11-09T00:00:00"/>
        <d v="2016-08-10T00:00:00"/>
        <d v="2016-11-08T00:00:00"/>
        <d v="2016-11-05T00:00:00"/>
        <d v="2016-10-09T00:00:00"/>
        <d v="2016-11-11T00:00:00"/>
      </sharedItems>
    </cacheField>
    <cacheField name="Produto" numFmtId="0">
      <sharedItems count="8">
        <s v="Lente de Contato"/>
        <s v="Óculos de Sol"/>
        <s v="Pentium Dual Core"/>
        <s v="Notebook"/>
        <s v="Hard Disk 450 Gb"/>
        <s v="Hard Disk 200 Gb"/>
        <s v="Pack 10 DVD"/>
        <s v="Placa de Som"/>
      </sharedItems>
    </cacheField>
    <cacheField name="Valor" numFmtId="164">
      <sharedItems containsSemiMixedTypes="0" containsString="0" containsNumber="1" minValue="9.9" maxValue="2000" count="11">
        <n v="120"/>
        <n v="90"/>
        <n v="150"/>
        <n v="130"/>
        <n v="1500"/>
        <n v="2000"/>
        <n v="450"/>
        <n v="335"/>
        <n v="9.9"/>
        <n v="467"/>
        <n v="533"/>
      </sharedItems>
    </cacheField>
    <cacheField name="Qtd" numFmtId="0">
      <sharedItems containsSemiMixedTypes="0" containsString="0" containsNumber="1" containsInteger="1" minValue="2" maxValue="6" count="5">
        <n v="3"/>
        <n v="2"/>
        <n v="4"/>
        <n v="5"/>
        <n v="6"/>
      </sharedItems>
    </cacheField>
    <cacheField name="Total" numFmtId="44">
      <sharedItems containsSemiMixedTypes="0" containsString="0" containsNumber="1" minValue="19.8" maxValue="10000" count="34">
        <n v="360"/>
        <n v="270"/>
        <n v="300"/>
        <n v="240"/>
        <n v="520"/>
        <n v="600"/>
        <n v="180"/>
        <n v="650"/>
        <n v="3000"/>
        <n v="6000"/>
        <n v="900"/>
        <n v="1340"/>
        <n v="1675"/>
        <n v="670"/>
        <n v="1005"/>
        <n v="260"/>
        <n v="780"/>
        <n v="750"/>
        <n v="450"/>
        <n v="480"/>
        <n v="19.8"/>
        <n v="39.6"/>
        <n v="1350"/>
        <n v="1800"/>
        <n v="29.700000000000003"/>
        <n v="49.5"/>
        <n v="1401"/>
        <n v="1599"/>
        <n v="2250"/>
        <n v="1066"/>
        <n v="390"/>
        <n v="10000"/>
        <n v="4000"/>
        <n v="8000"/>
      </sharedItems>
    </cacheField>
  </cacheFields>
  <extLst>
    <ext xmlns:x14="http://schemas.microsoft.com/office/spreadsheetml/2009/9/main" uri="{725AE2AE-9491-48be-B2B4-4EB974FC3084}">
      <x14:pivotCacheDefinition pivotCacheId="107495149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">
  <r>
    <x v="0"/>
    <x v="0"/>
    <x v="0"/>
    <x v="0"/>
    <x v="0"/>
    <x v="0"/>
    <x v="0"/>
  </r>
  <r>
    <x v="0"/>
    <x v="0"/>
    <x v="1"/>
    <x v="0"/>
    <x v="1"/>
    <x v="0"/>
    <x v="1"/>
  </r>
  <r>
    <x v="0"/>
    <x v="0"/>
    <x v="2"/>
    <x v="1"/>
    <x v="2"/>
    <x v="1"/>
    <x v="2"/>
  </r>
  <r>
    <x v="0"/>
    <x v="0"/>
    <x v="3"/>
    <x v="0"/>
    <x v="0"/>
    <x v="0"/>
    <x v="0"/>
  </r>
  <r>
    <x v="0"/>
    <x v="0"/>
    <x v="4"/>
    <x v="0"/>
    <x v="1"/>
    <x v="0"/>
    <x v="1"/>
  </r>
  <r>
    <x v="0"/>
    <x v="0"/>
    <x v="4"/>
    <x v="0"/>
    <x v="0"/>
    <x v="1"/>
    <x v="3"/>
  </r>
  <r>
    <x v="0"/>
    <x v="0"/>
    <x v="4"/>
    <x v="0"/>
    <x v="0"/>
    <x v="0"/>
    <x v="0"/>
  </r>
  <r>
    <x v="0"/>
    <x v="0"/>
    <x v="4"/>
    <x v="1"/>
    <x v="3"/>
    <x v="2"/>
    <x v="4"/>
  </r>
  <r>
    <x v="0"/>
    <x v="0"/>
    <x v="4"/>
    <x v="1"/>
    <x v="2"/>
    <x v="1"/>
    <x v="2"/>
  </r>
  <r>
    <x v="0"/>
    <x v="0"/>
    <x v="5"/>
    <x v="0"/>
    <x v="0"/>
    <x v="3"/>
    <x v="5"/>
  </r>
  <r>
    <x v="0"/>
    <x v="0"/>
    <x v="6"/>
    <x v="0"/>
    <x v="1"/>
    <x v="1"/>
    <x v="6"/>
  </r>
  <r>
    <x v="0"/>
    <x v="0"/>
    <x v="7"/>
    <x v="1"/>
    <x v="2"/>
    <x v="2"/>
    <x v="5"/>
  </r>
  <r>
    <x v="0"/>
    <x v="0"/>
    <x v="8"/>
    <x v="1"/>
    <x v="3"/>
    <x v="3"/>
    <x v="7"/>
  </r>
  <r>
    <x v="1"/>
    <x v="1"/>
    <x v="9"/>
    <x v="2"/>
    <x v="4"/>
    <x v="1"/>
    <x v="8"/>
  </r>
  <r>
    <x v="1"/>
    <x v="1"/>
    <x v="10"/>
    <x v="3"/>
    <x v="5"/>
    <x v="0"/>
    <x v="9"/>
  </r>
  <r>
    <x v="1"/>
    <x v="1"/>
    <x v="11"/>
    <x v="4"/>
    <x v="6"/>
    <x v="1"/>
    <x v="10"/>
  </r>
  <r>
    <x v="1"/>
    <x v="1"/>
    <x v="12"/>
    <x v="5"/>
    <x v="7"/>
    <x v="2"/>
    <x v="11"/>
  </r>
  <r>
    <x v="1"/>
    <x v="1"/>
    <x v="3"/>
    <x v="5"/>
    <x v="7"/>
    <x v="3"/>
    <x v="12"/>
  </r>
  <r>
    <x v="1"/>
    <x v="1"/>
    <x v="13"/>
    <x v="5"/>
    <x v="7"/>
    <x v="1"/>
    <x v="13"/>
  </r>
  <r>
    <x v="1"/>
    <x v="1"/>
    <x v="13"/>
    <x v="5"/>
    <x v="7"/>
    <x v="1"/>
    <x v="13"/>
  </r>
  <r>
    <x v="1"/>
    <x v="1"/>
    <x v="13"/>
    <x v="5"/>
    <x v="7"/>
    <x v="0"/>
    <x v="14"/>
  </r>
  <r>
    <x v="1"/>
    <x v="1"/>
    <x v="13"/>
    <x v="5"/>
    <x v="7"/>
    <x v="2"/>
    <x v="11"/>
  </r>
  <r>
    <x v="1"/>
    <x v="1"/>
    <x v="13"/>
    <x v="5"/>
    <x v="7"/>
    <x v="3"/>
    <x v="12"/>
  </r>
  <r>
    <x v="1"/>
    <x v="1"/>
    <x v="5"/>
    <x v="5"/>
    <x v="7"/>
    <x v="0"/>
    <x v="14"/>
  </r>
  <r>
    <x v="1"/>
    <x v="1"/>
    <x v="6"/>
    <x v="5"/>
    <x v="7"/>
    <x v="2"/>
    <x v="11"/>
  </r>
  <r>
    <x v="1"/>
    <x v="1"/>
    <x v="14"/>
    <x v="5"/>
    <x v="7"/>
    <x v="2"/>
    <x v="11"/>
  </r>
  <r>
    <x v="1"/>
    <x v="1"/>
    <x v="7"/>
    <x v="5"/>
    <x v="7"/>
    <x v="3"/>
    <x v="12"/>
  </r>
  <r>
    <x v="2"/>
    <x v="0"/>
    <x v="15"/>
    <x v="1"/>
    <x v="2"/>
    <x v="2"/>
    <x v="5"/>
  </r>
  <r>
    <x v="2"/>
    <x v="0"/>
    <x v="16"/>
    <x v="1"/>
    <x v="3"/>
    <x v="1"/>
    <x v="15"/>
  </r>
  <r>
    <x v="2"/>
    <x v="0"/>
    <x v="17"/>
    <x v="1"/>
    <x v="2"/>
    <x v="2"/>
    <x v="5"/>
  </r>
  <r>
    <x v="2"/>
    <x v="0"/>
    <x v="12"/>
    <x v="1"/>
    <x v="3"/>
    <x v="4"/>
    <x v="16"/>
  </r>
  <r>
    <x v="3"/>
    <x v="0"/>
    <x v="18"/>
    <x v="1"/>
    <x v="3"/>
    <x v="2"/>
    <x v="4"/>
  </r>
  <r>
    <x v="3"/>
    <x v="0"/>
    <x v="16"/>
    <x v="1"/>
    <x v="2"/>
    <x v="3"/>
    <x v="17"/>
  </r>
  <r>
    <x v="3"/>
    <x v="0"/>
    <x v="3"/>
    <x v="1"/>
    <x v="3"/>
    <x v="1"/>
    <x v="15"/>
  </r>
  <r>
    <x v="3"/>
    <x v="0"/>
    <x v="19"/>
    <x v="0"/>
    <x v="1"/>
    <x v="3"/>
    <x v="18"/>
  </r>
  <r>
    <x v="3"/>
    <x v="0"/>
    <x v="19"/>
    <x v="0"/>
    <x v="0"/>
    <x v="0"/>
    <x v="0"/>
  </r>
  <r>
    <x v="3"/>
    <x v="0"/>
    <x v="19"/>
    <x v="0"/>
    <x v="0"/>
    <x v="2"/>
    <x v="19"/>
  </r>
  <r>
    <x v="3"/>
    <x v="0"/>
    <x v="19"/>
    <x v="1"/>
    <x v="3"/>
    <x v="1"/>
    <x v="15"/>
  </r>
  <r>
    <x v="3"/>
    <x v="0"/>
    <x v="19"/>
    <x v="1"/>
    <x v="2"/>
    <x v="2"/>
    <x v="5"/>
  </r>
  <r>
    <x v="3"/>
    <x v="1"/>
    <x v="20"/>
    <x v="6"/>
    <x v="8"/>
    <x v="1"/>
    <x v="20"/>
  </r>
  <r>
    <x v="3"/>
    <x v="1"/>
    <x v="20"/>
    <x v="6"/>
    <x v="8"/>
    <x v="2"/>
    <x v="21"/>
  </r>
  <r>
    <x v="3"/>
    <x v="1"/>
    <x v="20"/>
    <x v="5"/>
    <x v="7"/>
    <x v="2"/>
    <x v="11"/>
  </r>
  <r>
    <x v="3"/>
    <x v="1"/>
    <x v="20"/>
    <x v="4"/>
    <x v="6"/>
    <x v="0"/>
    <x v="22"/>
  </r>
  <r>
    <x v="3"/>
    <x v="1"/>
    <x v="20"/>
    <x v="4"/>
    <x v="6"/>
    <x v="2"/>
    <x v="23"/>
  </r>
  <r>
    <x v="3"/>
    <x v="0"/>
    <x v="5"/>
    <x v="1"/>
    <x v="2"/>
    <x v="2"/>
    <x v="5"/>
  </r>
  <r>
    <x v="3"/>
    <x v="1"/>
    <x v="5"/>
    <x v="4"/>
    <x v="6"/>
    <x v="1"/>
    <x v="10"/>
  </r>
  <r>
    <x v="3"/>
    <x v="0"/>
    <x v="6"/>
    <x v="1"/>
    <x v="3"/>
    <x v="2"/>
    <x v="4"/>
  </r>
  <r>
    <x v="3"/>
    <x v="1"/>
    <x v="6"/>
    <x v="5"/>
    <x v="7"/>
    <x v="1"/>
    <x v="13"/>
  </r>
  <r>
    <x v="3"/>
    <x v="1"/>
    <x v="14"/>
    <x v="6"/>
    <x v="8"/>
    <x v="0"/>
    <x v="24"/>
  </r>
  <r>
    <x v="3"/>
    <x v="0"/>
    <x v="14"/>
    <x v="0"/>
    <x v="0"/>
    <x v="1"/>
    <x v="3"/>
  </r>
  <r>
    <x v="3"/>
    <x v="1"/>
    <x v="7"/>
    <x v="6"/>
    <x v="8"/>
    <x v="0"/>
    <x v="24"/>
  </r>
  <r>
    <x v="3"/>
    <x v="0"/>
    <x v="7"/>
    <x v="0"/>
    <x v="0"/>
    <x v="2"/>
    <x v="19"/>
  </r>
  <r>
    <x v="3"/>
    <x v="0"/>
    <x v="8"/>
    <x v="0"/>
    <x v="1"/>
    <x v="1"/>
    <x v="6"/>
  </r>
  <r>
    <x v="4"/>
    <x v="1"/>
    <x v="21"/>
    <x v="6"/>
    <x v="8"/>
    <x v="3"/>
    <x v="25"/>
  </r>
  <r>
    <x v="4"/>
    <x v="0"/>
    <x v="2"/>
    <x v="1"/>
    <x v="3"/>
    <x v="2"/>
    <x v="4"/>
  </r>
  <r>
    <x v="4"/>
    <x v="1"/>
    <x v="12"/>
    <x v="5"/>
    <x v="7"/>
    <x v="0"/>
    <x v="14"/>
  </r>
  <r>
    <x v="4"/>
    <x v="1"/>
    <x v="3"/>
    <x v="5"/>
    <x v="7"/>
    <x v="1"/>
    <x v="13"/>
  </r>
  <r>
    <x v="4"/>
    <x v="1"/>
    <x v="22"/>
    <x v="5"/>
    <x v="7"/>
    <x v="1"/>
    <x v="13"/>
  </r>
  <r>
    <x v="4"/>
    <x v="1"/>
    <x v="22"/>
    <x v="5"/>
    <x v="7"/>
    <x v="1"/>
    <x v="13"/>
  </r>
  <r>
    <x v="4"/>
    <x v="1"/>
    <x v="22"/>
    <x v="5"/>
    <x v="7"/>
    <x v="0"/>
    <x v="14"/>
  </r>
  <r>
    <x v="4"/>
    <x v="0"/>
    <x v="22"/>
    <x v="5"/>
    <x v="7"/>
    <x v="2"/>
    <x v="11"/>
  </r>
  <r>
    <x v="4"/>
    <x v="1"/>
    <x v="22"/>
    <x v="5"/>
    <x v="7"/>
    <x v="3"/>
    <x v="12"/>
  </r>
  <r>
    <x v="4"/>
    <x v="1"/>
    <x v="5"/>
    <x v="5"/>
    <x v="7"/>
    <x v="1"/>
    <x v="13"/>
  </r>
  <r>
    <x v="4"/>
    <x v="1"/>
    <x v="14"/>
    <x v="5"/>
    <x v="7"/>
    <x v="0"/>
    <x v="14"/>
  </r>
  <r>
    <x v="4"/>
    <x v="1"/>
    <x v="7"/>
    <x v="5"/>
    <x v="7"/>
    <x v="3"/>
    <x v="12"/>
  </r>
  <r>
    <x v="4"/>
    <x v="1"/>
    <x v="8"/>
    <x v="5"/>
    <x v="7"/>
    <x v="3"/>
    <x v="12"/>
  </r>
  <r>
    <x v="5"/>
    <x v="1"/>
    <x v="9"/>
    <x v="7"/>
    <x v="9"/>
    <x v="0"/>
    <x v="26"/>
  </r>
  <r>
    <x v="5"/>
    <x v="1"/>
    <x v="23"/>
    <x v="7"/>
    <x v="10"/>
    <x v="0"/>
    <x v="27"/>
  </r>
  <r>
    <x v="5"/>
    <x v="1"/>
    <x v="12"/>
    <x v="6"/>
    <x v="8"/>
    <x v="2"/>
    <x v="21"/>
  </r>
  <r>
    <x v="5"/>
    <x v="1"/>
    <x v="3"/>
    <x v="4"/>
    <x v="6"/>
    <x v="3"/>
    <x v="28"/>
  </r>
  <r>
    <x v="5"/>
    <x v="1"/>
    <x v="24"/>
    <x v="5"/>
    <x v="7"/>
    <x v="1"/>
    <x v="13"/>
  </r>
  <r>
    <x v="5"/>
    <x v="1"/>
    <x v="24"/>
    <x v="5"/>
    <x v="7"/>
    <x v="1"/>
    <x v="13"/>
  </r>
  <r>
    <x v="5"/>
    <x v="1"/>
    <x v="24"/>
    <x v="5"/>
    <x v="7"/>
    <x v="3"/>
    <x v="12"/>
  </r>
  <r>
    <x v="5"/>
    <x v="1"/>
    <x v="24"/>
    <x v="4"/>
    <x v="6"/>
    <x v="1"/>
    <x v="10"/>
  </r>
  <r>
    <x v="5"/>
    <x v="1"/>
    <x v="24"/>
    <x v="4"/>
    <x v="6"/>
    <x v="0"/>
    <x v="22"/>
  </r>
  <r>
    <x v="5"/>
    <x v="1"/>
    <x v="6"/>
    <x v="6"/>
    <x v="8"/>
    <x v="2"/>
    <x v="21"/>
  </r>
  <r>
    <x v="5"/>
    <x v="1"/>
    <x v="14"/>
    <x v="6"/>
    <x v="8"/>
    <x v="2"/>
    <x v="21"/>
  </r>
  <r>
    <x v="5"/>
    <x v="1"/>
    <x v="7"/>
    <x v="6"/>
    <x v="8"/>
    <x v="3"/>
    <x v="25"/>
  </r>
  <r>
    <x v="5"/>
    <x v="1"/>
    <x v="8"/>
    <x v="7"/>
    <x v="10"/>
    <x v="1"/>
    <x v="29"/>
  </r>
  <r>
    <x v="6"/>
    <x v="0"/>
    <x v="15"/>
    <x v="1"/>
    <x v="3"/>
    <x v="2"/>
    <x v="4"/>
  </r>
  <r>
    <x v="6"/>
    <x v="0"/>
    <x v="12"/>
    <x v="1"/>
    <x v="2"/>
    <x v="0"/>
    <x v="18"/>
  </r>
  <r>
    <x v="6"/>
    <x v="0"/>
    <x v="25"/>
    <x v="0"/>
    <x v="1"/>
    <x v="1"/>
    <x v="6"/>
  </r>
  <r>
    <x v="6"/>
    <x v="0"/>
    <x v="25"/>
    <x v="0"/>
    <x v="0"/>
    <x v="1"/>
    <x v="3"/>
  </r>
  <r>
    <x v="6"/>
    <x v="0"/>
    <x v="25"/>
    <x v="0"/>
    <x v="0"/>
    <x v="2"/>
    <x v="19"/>
  </r>
  <r>
    <x v="6"/>
    <x v="0"/>
    <x v="25"/>
    <x v="0"/>
    <x v="0"/>
    <x v="3"/>
    <x v="5"/>
  </r>
  <r>
    <x v="6"/>
    <x v="0"/>
    <x v="25"/>
    <x v="1"/>
    <x v="3"/>
    <x v="0"/>
    <x v="30"/>
  </r>
  <r>
    <x v="6"/>
    <x v="0"/>
    <x v="5"/>
    <x v="0"/>
    <x v="0"/>
    <x v="2"/>
    <x v="19"/>
  </r>
  <r>
    <x v="6"/>
    <x v="0"/>
    <x v="6"/>
    <x v="0"/>
    <x v="1"/>
    <x v="2"/>
    <x v="0"/>
  </r>
  <r>
    <x v="6"/>
    <x v="0"/>
    <x v="14"/>
    <x v="0"/>
    <x v="0"/>
    <x v="0"/>
    <x v="0"/>
  </r>
  <r>
    <x v="6"/>
    <x v="0"/>
    <x v="7"/>
    <x v="0"/>
    <x v="0"/>
    <x v="2"/>
    <x v="19"/>
  </r>
  <r>
    <x v="6"/>
    <x v="0"/>
    <x v="8"/>
    <x v="0"/>
    <x v="1"/>
    <x v="0"/>
    <x v="1"/>
  </r>
  <r>
    <x v="6"/>
    <x v="0"/>
    <x v="8"/>
    <x v="1"/>
    <x v="2"/>
    <x v="1"/>
    <x v="2"/>
  </r>
  <r>
    <x v="7"/>
    <x v="1"/>
    <x v="1"/>
    <x v="2"/>
    <x v="4"/>
    <x v="1"/>
    <x v="8"/>
  </r>
  <r>
    <x v="7"/>
    <x v="1"/>
    <x v="26"/>
    <x v="6"/>
    <x v="8"/>
    <x v="1"/>
    <x v="20"/>
  </r>
  <r>
    <x v="7"/>
    <x v="1"/>
    <x v="3"/>
    <x v="4"/>
    <x v="6"/>
    <x v="2"/>
    <x v="23"/>
  </r>
  <r>
    <x v="7"/>
    <x v="1"/>
    <x v="27"/>
    <x v="6"/>
    <x v="8"/>
    <x v="1"/>
    <x v="20"/>
  </r>
  <r>
    <x v="7"/>
    <x v="1"/>
    <x v="27"/>
    <x v="6"/>
    <x v="8"/>
    <x v="0"/>
    <x v="24"/>
  </r>
  <r>
    <x v="7"/>
    <x v="1"/>
    <x v="27"/>
    <x v="6"/>
    <x v="8"/>
    <x v="0"/>
    <x v="24"/>
  </r>
  <r>
    <x v="7"/>
    <x v="1"/>
    <x v="27"/>
    <x v="5"/>
    <x v="7"/>
    <x v="2"/>
    <x v="11"/>
  </r>
  <r>
    <x v="7"/>
    <x v="1"/>
    <x v="27"/>
    <x v="3"/>
    <x v="5"/>
    <x v="0"/>
    <x v="9"/>
  </r>
  <r>
    <x v="7"/>
    <x v="1"/>
    <x v="5"/>
    <x v="3"/>
    <x v="5"/>
    <x v="3"/>
    <x v="31"/>
  </r>
  <r>
    <x v="7"/>
    <x v="1"/>
    <x v="6"/>
    <x v="3"/>
    <x v="5"/>
    <x v="1"/>
    <x v="32"/>
  </r>
  <r>
    <x v="7"/>
    <x v="1"/>
    <x v="14"/>
    <x v="3"/>
    <x v="5"/>
    <x v="0"/>
    <x v="9"/>
  </r>
  <r>
    <x v="7"/>
    <x v="1"/>
    <x v="8"/>
    <x v="3"/>
    <x v="5"/>
    <x v="2"/>
    <x v="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2B4FCD-2BFB-4A6D-8BB9-FC5750525C2E}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 rowHeaderCaption="Vendedores">
  <location ref="B3:E38" firstHeaderRow="0" firstDataRow="1" firstDataCol="1"/>
  <pivotFields count="7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3">
        <item x="1"/>
        <item x="0"/>
        <item t="default"/>
      </items>
    </pivotField>
    <pivotField numFmtId="14" showAll="0">
      <items count="29">
        <item x="21"/>
        <item x="9"/>
        <item x="15"/>
        <item x="18"/>
        <item x="10"/>
        <item x="23"/>
        <item x="0"/>
        <item x="1"/>
        <item x="11"/>
        <item x="16"/>
        <item x="17"/>
        <item x="26"/>
        <item x="2"/>
        <item x="12"/>
        <item x="3"/>
        <item x="25"/>
        <item x="19"/>
        <item x="13"/>
        <item x="24"/>
        <item x="22"/>
        <item x="4"/>
        <item x="27"/>
        <item x="20"/>
        <item x="5"/>
        <item x="6"/>
        <item x="14"/>
        <item x="7"/>
        <item x="8"/>
        <item t="default"/>
      </items>
    </pivotField>
    <pivotField axis="axisRow" showAll="0">
      <items count="9">
        <item x="5"/>
        <item x="4"/>
        <item x="0"/>
        <item x="3"/>
        <item x="1"/>
        <item x="6"/>
        <item x="2"/>
        <item x="7"/>
        <item t="default"/>
      </items>
    </pivotField>
    <pivotField dataField="1" numFmtId="164" showAll="0">
      <items count="12">
        <item x="8"/>
        <item x="1"/>
        <item x="0"/>
        <item x="3"/>
        <item x="2"/>
        <item x="7"/>
        <item x="6"/>
        <item x="9"/>
        <item x="10"/>
        <item x="4"/>
        <item x="5"/>
        <item t="default"/>
      </items>
    </pivotField>
    <pivotField dataField="1" showAll="0">
      <items count="6">
        <item x="1"/>
        <item x="0"/>
        <item x="2"/>
        <item x="3"/>
        <item x="4"/>
        <item t="default"/>
      </items>
    </pivotField>
    <pivotField dataField="1" numFmtId="44" showAll="0">
      <items count="35">
        <item x="20"/>
        <item x="24"/>
        <item x="21"/>
        <item x="25"/>
        <item x="6"/>
        <item x="3"/>
        <item x="15"/>
        <item x="1"/>
        <item x="2"/>
        <item x="0"/>
        <item x="30"/>
        <item x="18"/>
        <item x="19"/>
        <item x="4"/>
        <item x="5"/>
        <item x="7"/>
        <item x="13"/>
        <item x="17"/>
        <item x="16"/>
        <item x="10"/>
        <item x="14"/>
        <item x="29"/>
        <item x="11"/>
        <item x="22"/>
        <item x="26"/>
        <item x="27"/>
        <item x="12"/>
        <item x="23"/>
        <item x="28"/>
        <item x="8"/>
        <item x="32"/>
        <item x="9"/>
        <item x="33"/>
        <item x="31"/>
        <item t="default"/>
      </items>
    </pivotField>
  </pivotFields>
  <rowFields count="2">
    <field x="0"/>
    <field x="3"/>
  </rowFields>
  <rowItems count="35">
    <i>
      <x/>
    </i>
    <i r="1">
      <x v="2"/>
    </i>
    <i r="1">
      <x v="4"/>
    </i>
    <i>
      <x v="1"/>
    </i>
    <i r="1">
      <x/>
    </i>
    <i r="1">
      <x v="1"/>
    </i>
    <i r="1">
      <x v="3"/>
    </i>
    <i r="1">
      <x v="6"/>
    </i>
    <i>
      <x v="2"/>
    </i>
    <i r="1">
      <x v="4"/>
    </i>
    <i>
      <x v="3"/>
    </i>
    <i r="1">
      <x/>
    </i>
    <i r="1">
      <x v="1"/>
    </i>
    <i r="1">
      <x v="2"/>
    </i>
    <i r="1">
      <x v="4"/>
    </i>
    <i r="1">
      <x v="5"/>
    </i>
    <i>
      <x v="4"/>
    </i>
    <i r="1">
      <x/>
    </i>
    <i r="1">
      <x v="4"/>
    </i>
    <i r="1">
      <x v="5"/>
    </i>
    <i>
      <x v="5"/>
    </i>
    <i r="1">
      <x/>
    </i>
    <i r="1">
      <x v="1"/>
    </i>
    <i r="1">
      <x v="5"/>
    </i>
    <i r="1">
      <x v="7"/>
    </i>
    <i>
      <x v="6"/>
    </i>
    <i r="1">
      <x v="2"/>
    </i>
    <i r="1">
      <x v="4"/>
    </i>
    <i>
      <x v="7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Quantidade" fld="5" baseField="0" baseItem="0"/>
    <dataField name="Valor unit." fld="4" baseField="0" baseItem="0" numFmtId="44"/>
    <dataField name="Valor total" fld="6" baseField="0" baseItem="0" numFmtId="44"/>
  </dataFields>
  <formats count="3">
    <format dxfId="125">
      <pivotArea outline="0" collapsedLevelsAreSubtotals="1" fieldPosition="0"/>
    </format>
    <format dxfId="124">
      <pivotArea outline="0" collapsedLevelsAreSubtotals="1" fieldPosition="0"/>
    </format>
    <format dxfId="10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chartFormats count="3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Vendedor" xr10:uid="{B8703761-4009-4CFA-B569-0B0E3669884A}" sourceName="Vendedor">
  <pivotTables>
    <pivotTable tabId="2" name="Tabela dinâmica2"/>
  </pivotTables>
  <data>
    <tabular pivotCacheId="1074951490">
      <items count="8">
        <i x="0" s="1"/>
        <i x="1" s="1"/>
        <i x="2" s="1"/>
        <i x="3" s="1"/>
        <i x="4" s="1"/>
        <i x="5" s="1"/>
        <i x="6" s="1"/>
        <i x="7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pto." xr10:uid="{EC61EC7A-87C2-477C-BAF5-06E32FBB50B1}" sourceName="Depto.">
  <pivotTables>
    <pivotTable tabId="2" name="Tabela dinâmica2"/>
  </pivotTables>
  <data>
    <tabular pivotCacheId="1074951490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Venda" xr10:uid="{0661DADB-6CDA-4C5E-B15C-6AD2639D6742}" sourceName="Data Venda">
  <pivotTables>
    <pivotTable tabId="2" name="Tabela dinâmica2"/>
  </pivotTables>
  <data>
    <tabular pivotCacheId="1074951490">
      <items count="28">
        <i x="21" s="1"/>
        <i x="9" s="1"/>
        <i x="15" s="1"/>
        <i x="18" s="1"/>
        <i x="10" s="1"/>
        <i x="23" s="1"/>
        <i x="0" s="1"/>
        <i x="1" s="1"/>
        <i x="11" s="1"/>
        <i x="16" s="1"/>
        <i x="17" s="1"/>
        <i x="26" s="1"/>
        <i x="2" s="1"/>
        <i x="12" s="1"/>
        <i x="3" s="1"/>
        <i x="25" s="1"/>
        <i x="19" s="1"/>
        <i x="13" s="1"/>
        <i x="24" s="1"/>
        <i x="22" s="1"/>
        <i x="4" s="1"/>
        <i x="27" s="1"/>
        <i x="20" s="1"/>
        <i x="5" s="1"/>
        <i x="6" s="1"/>
        <i x="14" s="1"/>
        <i x="7" s="1"/>
        <i x="8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B0C4B5D8-F12C-41E1-B3F2-4040025B5FDF}" sourceName="Produto">
  <pivotTables>
    <pivotTable tabId="2" name="Tabela dinâmica2"/>
  </pivotTables>
  <data>
    <tabular pivotCacheId="1074951490">
      <items count="8">
        <i x="5" s="1"/>
        <i x="4" s="1"/>
        <i x="0" s="1"/>
        <i x="3" s="1"/>
        <i x="1" s="1"/>
        <i x="6" s="1"/>
        <i x="2" s="1"/>
        <i x="7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Valor" xr10:uid="{54BE0C76-38ED-4C15-BA2E-8B8FAE3CF3C0}" sourceName="Valor">
  <pivotTables>
    <pivotTable tabId="2" name="Tabela dinâmica2"/>
  </pivotTables>
  <data>
    <tabular pivotCacheId="1074951490">
      <items count="11">
        <i x="8" s="1"/>
        <i x="1" s="1"/>
        <i x="0" s="1"/>
        <i x="3" s="1"/>
        <i x="2" s="1"/>
        <i x="7" s="1"/>
        <i x="6" s="1"/>
        <i x="9" s="1"/>
        <i x="10" s="1"/>
        <i x="4" s="1"/>
        <i x="5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Qtd" xr10:uid="{8BF9196E-DA9F-4871-872E-880ED4590E58}" sourceName="Qtd">
  <pivotTables>
    <pivotTable tabId="2" name="Tabela dinâmica2"/>
  </pivotTables>
  <data>
    <tabular pivotCacheId="1074951490">
      <items count="5">
        <i x="1" s="1"/>
        <i x="0" s="1"/>
        <i x="2" s="1"/>
        <i x="3" s="1"/>
        <i x="4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otal" xr10:uid="{8C79F0EF-95B1-4BBF-A382-33DAB2E6B3E4}" sourceName="Total">
  <pivotTables>
    <pivotTable tabId="2" name="Tabela dinâmica2"/>
  </pivotTables>
  <data>
    <tabular pivotCacheId="1074951490">
      <items count="34">
        <i x="20" s="1"/>
        <i x="24" s="1"/>
        <i x="21" s="1"/>
        <i x="25" s="1"/>
        <i x="6" s="1"/>
        <i x="3" s="1"/>
        <i x="15" s="1"/>
        <i x="1" s="1"/>
        <i x="2" s="1"/>
        <i x="0" s="1"/>
        <i x="30" s="1"/>
        <i x="18" s="1"/>
        <i x="19" s="1"/>
        <i x="4" s="1"/>
        <i x="5" s="1"/>
        <i x="7" s="1"/>
        <i x="13" s="1"/>
        <i x="17" s="1"/>
        <i x="16" s="1"/>
        <i x="10" s="1"/>
        <i x="14" s="1"/>
        <i x="29" s="1"/>
        <i x="11" s="1"/>
        <i x="22" s="1"/>
        <i x="26" s="1"/>
        <i x="27" s="1"/>
        <i x="12" s="1"/>
        <i x="23" s="1"/>
        <i x="28" s="1"/>
        <i x="8" s="1"/>
        <i x="32" s="1"/>
        <i x="9" s="1"/>
        <i x="33" s="1"/>
        <i x="3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Vendedor" xr10:uid="{2104E5DC-0BF9-41C2-AE96-1AF757D41C7C}" cache="SegmentaçãodeDados_Vendedor" caption="Vendedor" rowHeight="241300"/>
  <slicer name="Depto." xr10:uid="{B4F90637-50BD-4432-BD51-4AA4C321A2E3}" cache="SegmentaçãodeDados_Depto." caption="Depto." rowHeight="241300"/>
  <slicer name="Data Venda" xr10:uid="{53C2348E-99E4-4035-BD0A-1B1078D278D0}" cache="SegmentaçãodeDados_Data_Venda" caption="Data Venda" rowHeight="241300"/>
  <slicer name="Produto" xr10:uid="{433C1CC3-B255-46AA-A50A-EF8AA736B31F}" cache="SegmentaçãodeDados_Produto" caption="Produto" rowHeight="241300"/>
  <slicer name="Valor" xr10:uid="{E64D8BE3-3670-400B-8BEC-A1F8355AC5B7}" cache="SegmentaçãodeDados_Valor" caption="Valor" startItem="1" rowHeight="241300"/>
  <slicer name="Qtd" xr10:uid="{37565677-BB93-4093-B0B0-BC1EF364815A}" cache="SegmentaçãodeDados_Qtd" caption="Qtd" rowHeight="241300"/>
  <slicer name="Total" xr10:uid="{534A8228-5C04-42AA-86B3-3C3F7ED86891}" cache="SegmentaçãodeDados_Total" caption="Total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3:G107" totalsRowShown="0" headerRowDxfId="135" headerRowBorderDxfId="134" tableBorderDxfId="133">
  <tableColumns count="7">
    <tableColumn id="1" xr3:uid="{00000000-0010-0000-0000-000001000000}" name="Vendedor" dataDxfId="132"/>
    <tableColumn id="2" xr3:uid="{00000000-0010-0000-0000-000002000000}" name="Depto." dataDxfId="131"/>
    <tableColumn id="3" xr3:uid="{00000000-0010-0000-0000-000003000000}" name="Data Venda" dataDxfId="130"/>
    <tableColumn id="4" xr3:uid="{00000000-0010-0000-0000-000004000000}" name="Produto" dataDxfId="129"/>
    <tableColumn id="5" xr3:uid="{00000000-0010-0000-0000-000005000000}" name="Valor" dataDxfId="128"/>
    <tableColumn id="6" xr3:uid="{00000000-0010-0000-0000-000006000000}" name="Qtd" dataDxfId="127"/>
    <tableColumn id="7" xr3:uid="{00000000-0010-0000-0000-000007000000}" name="Total" dataDxfId="126" dataCellStyle="Moeda">
      <calculatedColumnFormula>E4*F4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1"/>
  <sheetViews>
    <sheetView topLeftCell="A86" zoomScale="160" zoomScaleNormal="160" workbookViewId="0">
      <selection activeCell="A3" sqref="A3:G107"/>
    </sheetView>
  </sheetViews>
  <sheetFormatPr defaultColWidth="8.85546875" defaultRowHeight="12.75" x14ac:dyDescent="0.2"/>
  <cols>
    <col min="1" max="1" width="14.42578125" style="1" bestFit="1" customWidth="1"/>
    <col min="2" max="2" width="10.85546875" style="1" bestFit="1" customWidth="1"/>
    <col min="3" max="3" width="14.5703125" style="4" bestFit="1" customWidth="1"/>
    <col min="4" max="4" width="15.7109375" style="1" bestFit="1" customWidth="1"/>
    <col min="5" max="5" width="11.42578125" style="1" bestFit="1" customWidth="1"/>
    <col min="6" max="6" width="8.5703125" style="4" bestFit="1" customWidth="1"/>
    <col min="7" max="7" width="12.42578125" style="1" bestFit="1" customWidth="1"/>
    <col min="8" max="16384" width="8.85546875" style="1"/>
  </cols>
  <sheetData>
    <row r="1" spans="1:7" ht="15" x14ac:dyDescent="0.2">
      <c r="A1" s="25" t="s">
        <v>0</v>
      </c>
      <c r="B1" s="26"/>
      <c r="C1" s="26"/>
      <c r="D1" s="26"/>
      <c r="E1" s="26"/>
      <c r="F1" s="26"/>
      <c r="G1" s="27"/>
    </row>
    <row r="2" spans="1:7" ht="7.5" customHeight="1" x14ac:dyDescent="0.2">
      <c r="A2" s="2"/>
      <c r="B2" s="3"/>
      <c r="C2" s="3"/>
      <c r="D2" s="3"/>
      <c r="E2" s="3"/>
      <c r="G2" s="3"/>
    </row>
    <row r="3" spans="1:7" x14ac:dyDescent="0.2">
      <c r="A3" s="19" t="s">
        <v>1</v>
      </c>
      <c r="B3" s="19" t="s">
        <v>2</v>
      </c>
      <c r="C3" s="19" t="s">
        <v>3</v>
      </c>
      <c r="D3" s="19" t="s">
        <v>4</v>
      </c>
      <c r="E3" s="19" t="s">
        <v>5</v>
      </c>
      <c r="F3" s="19" t="s">
        <v>6</v>
      </c>
      <c r="G3" s="19" t="s">
        <v>7</v>
      </c>
    </row>
    <row r="4" spans="1:7" x14ac:dyDescent="0.2">
      <c r="A4" s="5" t="s">
        <v>8</v>
      </c>
      <c r="B4" s="6" t="s">
        <v>9</v>
      </c>
      <c r="C4" s="7">
        <v>42594</v>
      </c>
      <c r="D4" s="5" t="s">
        <v>10</v>
      </c>
      <c r="E4" s="8">
        <v>120</v>
      </c>
      <c r="F4" s="6">
        <v>3</v>
      </c>
      <c r="G4" s="9">
        <f t="shared" ref="G4:G67" si="0">E4*F4</f>
        <v>360</v>
      </c>
    </row>
    <row r="5" spans="1:7" x14ac:dyDescent="0.2">
      <c r="A5" s="10" t="s">
        <v>8</v>
      </c>
      <c r="B5" s="11" t="s">
        <v>9</v>
      </c>
      <c r="C5" s="12">
        <v>42597</v>
      </c>
      <c r="D5" s="10" t="s">
        <v>10</v>
      </c>
      <c r="E5" s="13">
        <v>90</v>
      </c>
      <c r="F5" s="11">
        <v>3</v>
      </c>
      <c r="G5" s="14">
        <f t="shared" si="0"/>
        <v>270</v>
      </c>
    </row>
    <row r="6" spans="1:7" x14ac:dyDescent="0.2">
      <c r="A6" s="10" t="s">
        <v>8</v>
      </c>
      <c r="B6" s="11" t="s">
        <v>9</v>
      </c>
      <c r="C6" s="12">
        <v>42655</v>
      </c>
      <c r="D6" s="10" t="s">
        <v>11</v>
      </c>
      <c r="E6" s="13">
        <v>150</v>
      </c>
      <c r="F6" s="11">
        <v>2</v>
      </c>
      <c r="G6" s="14">
        <f t="shared" si="0"/>
        <v>300</v>
      </c>
    </row>
    <row r="7" spans="1:7" x14ac:dyDescent="0.2">
      <c r="A7" s="10" t="s">
        <v>8</v>
      </c>
      <c r="B7" s="11" t="s">
        <v>9</v>
      </c>
      <c r="C7" s="12">
        <v>42676</v>
      </c>
      <c r="D7" s="10" t="s">
        <v>10</v>
      </c>
      <c r="E7" s="13">
        <v>120</v>
      </c>
      <c r="F7" s="11">
        <v>3</v>
      </c>
      <c r="G7" s="14">
        <f t="shared" si="0"/>
        <v>360</v>
      </c>
    </row>
    <row r="8" spans="1:7" x14ac:dyDescent="0.2">
      <c r="A8" s="10" t="s">
        <v>8</v>
      </c>
      <c r="B8" s="11" t="s">
        <v>9</v>
      </c>
      <c r="C8" s="12">
        <v>42684</v>
      </c>
      <c r="D8" s="10" t="s">
        <v>10</v>
      </c>
      <c r="E8" s="13">
        <v>90</v>
      </c>
      <c r="F8" s="11">
        <v>3</v>
      </c>
      <c r="G8" s="14">
        <f t="shared" si="0"/>
        <v>270</v>
      </c>
    </row>
    <row r="9" spans="1:7" x14ac:dyDescent="0.2">
      <c r="A9" s="10" t="s">
        <v>8</v>
      </c>
      <c r="B9" s="11" t="s">
        <v>9</v>
      </c>
      <c r="C9" s="12">
        <v>42684</v>
      </c>
      <c r="D9" s="10" t="s">
        <v>10</v>
      </c>
      <c r="E9" s="13">
        <v>120</v>
      </c>
      <c r="F9" s="11">
        <v>2</v>
      </c>
      <c r="G9" s="14">
        <f t="shared" si="0"/>
        <v>240</v>
      </c>
    </row>
    <row r="10" spans="1:7" x14ac:dyDescent="0.2">
      <c r="A10" s="10" t="s">
        <v>8</v>
      </c>
      <c r="B10" s="11" t="s">
        <v>9</v>
      </c>
      <c r="C10" s="12">
        <v>42684</v>
      </c>
      <c r="D10" s="10" t="s">
        <v>10</v>
      </c>
      <c r="E10" s="13">
        <v>120</v>
      </c>
      <c r="F10" s="11">
        <v>3</v>
      </c>
      <c r="G10" s="14">
        <f t="shared" si="0"/>
        <v>360</v>
      </c>
    </row>
    <row r="11" spans="1:7" x14ac:dyDescent="0.2">
      <c r="A11" s="10" t="s">
        <v>8</v>
      </c>
      <c r="B11" s="11" t="s">
        <v>9</v>
      </c>
      <c r="C11" s="12">
        <v>42684</v>
      </c>
      <c r="D11" s="10" t="s">
        <v>11</v>
      </c>
      <c r="E11" s="13">
        <v>130</v>
      </c>
      <c r="F11" s="11">
        <v>4</v>
      </c>
      <c r="G11" s="14">
        <f t="shared" si="0"/>
        <v>520</v>
      </c>
    </row>
    <row r="12" spans="1:7" x14ac:dyDescent="0.2">
      <c r="A12" s="10" t="s">
        <v>8</v>
      </c>
      <c r="B12" s="11" t="s">
        <v>9</v>
      </c>
      <c r="C12" s="12">
        <v>42684</v>
      </c>
      <c r="D12" s="10" t="s">
        <v>11</v>
      </c>
      <c r="E12" s="13">
        <v>150</v>
      </c>
      <c r="F12" s="11">
        <v>2</v>
      </c>
      <c r="G12" s="14">
        <f t="shared" si="0"/>
        <v>300</v>
      </c>
    </row>
    <row r="13" spans="1:7" x14ac:dyDescent="0.2">
      <c r="A13" s="10" t="s">
        <v>8</v>
      </c>
      <c r="B13" s="11" t="s">
        <v>9</v>
      </c>
      <c r="C13" s="12">
        <v>42706</v>
      </c>
      <c r="D13" s="10" t="s">
        <v>10</v>
      </c>
      <c r="E13" s="13">
        <v>120</v>
      </c>
      <c r="F13" s="11">
        <v>5</v>
      </c>
      <c r="G13" s="14">
        <f t="shared" si="0"/>
        <v>600</v>
      </c>
    </row>
    <row r="14" spans="1:7" x14ac:dyDescent="0.2">
      <c r="A14" s="10" t="s">
        <v>8</v>
      </c>
      <c r="B14" s="11" t="s">
        <v>9</v>
      </c>
      <c r="C14" s="12">
        <v>42709</v>
      </c>
      <c r="D14" s="10" t="s">
        <v>10</v>
      </c>
      <c r="E14" s="13">
        <v>90</v>
      </c>
      <c r="F14" s="11">
        <v>2</v>
      </c>
      <c r="G14" s="14">
        <f t="shared" si="0"/>
        <v>180</v>
      </c>
    </row>
    <row r="15" spans="1:7" x14ac:dyDescent="0.2">
      <c r="A15" s="10" t="s">
        <v>8</v>
      </c>
      <c r="B15" s="11" t="s">
        <v>9</v>
      </c>
      <c r="C15" s="12">
        <v>42715</v>
      </c>
      <c r="D15" s="10" t="s">
        <v>11</v>
      </c>
      <c r="E15" s="13">
        <v>150</v>
      </c>
      <c r="F15" s="11">
        <v>4</v>
      </c>
      <c r="G15" s="14">
        <f t="shared" si="0"/>
        <v>600</v>
      </c>
    </row>
    <row r="16" spans="1:7" x14ac:dyDescent="0.2">
      <c r="A16" s="10" t="s">
        <v>8</v>
      </c>
      <c r="B16" s="11" t="s">
        <v>9</v>
      </c>
      <c r="C16" s="12">
        <v>42718</v>
      </c>
      <c r="D16" s="10" t="s">
        <v>11</v>
      </c>
      <c r="E16" s="13">
        <v>130</v>
      </c>
      <c r="F16" s="11">
        <v>5</v>
      </c>
      <c r="G16" s="14">
        <f t="shared" si="0"/>
        <v>650</v>
      </c>
    </row>
    <row r="17" spans="1:7" x14ac:dyDescent="0.2">
      <c r="A17" s="10" t="s">
        <v>12</v>
      </c>
      <c r="B17" s="11" t="s">
        <v>13</v>
      </c>
      <c r="C17" s="12">
        <v>42559</v>
      </c>
      <c r="D17" s="10" t="s">
        <v>14</v>
      </c>
      <c r="E17" s="13">
        <v>1500</v>
      </c>
      <c r="F17" s="11">
        <v>2</v>
      </c>
      <c r="G17" s="14">
        <f t="shared" si="0"/>
        <v>3000</v>
      </c>
    </row>
    <row r="18" spans="1:7" x14ac:dyDescent="0.2">
      <c r="A18" s="10" t="s">
        <v>12</v>
      </c>
      <c r="B18" s="11" t="s">
        <v>13</v>
      </c>
      <c r="C18" s="12">
        <v>42589</v>
      </c>
      <c r="D18" s="10" t="s">
        <v>15</v>
      </c>
      <c r="E18" s="13">
        <v>2000</v>
      </c>
      <c r="F18" s="11">
        <v>3</v>
      </c>
      <c r="G18" s="14">
        <f t="shared" si="0"/>
        <v>6000</v>
      </c>
    </row>
    <row r="19" spans="1:7" x14ac:dyDescent="0.2">
      <c r="A19" s="10" t="s">
        <v>12</v>
      </c>
      <c r="B19" s="11" t="s">
        <v>13</v>
      </c>
      <c r="C19" s="12">
        <v>42599</v>
      </c>
      <c r="D19" s="10" t="s">
        <v>16</v>
      </c>
      <c r="E19" s="13">
        <v>450</v>
      </c>
      <c r="F19" s="11">
        <v>2</v>
      </c>
      <c r="G19" s="14">
        <f t="shared" si="0"/>
        <v>900</v>
      </c>
    </row>
    <row r="20" spans="1:7" ht="14.45" customHeight="1" x14ac:dyDescent="0.2">
      <c r="A20" s="10" t="s">
        <v>12</v>
      </c>
      <c r="B20" s="11" t="s">
        <v>13</v>
      </c>
      <c r="C20" s="12">
        <v>42660</v>
      </c>
      <c r="D20" s="10" t="s">
        <v>17</v>
      </c>
      <c r="E20" s="13">
        <v>335</v>
      </c>
      <c r="F20" s="11">
        <v>4</v>
      </c>
      <c r="G20" s="14">
        <f t="shared" si="0"/>
        <v>1340</v>
      </c>
    </row>
    <row r="21" spans="1:7" x14ac:dyDescent="0.2">
      <c r="A21" s="10" t="s">
        <v>12</v>
      </c>
      <c r="B21" s="11" t="s">
        <v>13</v>
      </c>
      <c r="C21" s="12">
        <v>42676</v>
      </c>
      <c r="D21" s="10" t="s">
        <v>17</v>
      </c>
      <c r="E21" s="13">
        <v>335</v>
      </c>
      <c r="F21" s="11">
        <v>5</v>
      </c>
      <c r="G21" s="14">
        <f t="shared" si="0"/>
        <v>1675</v>
      </c>
    </row>
    <row r="22" spans="1:7" x14ac:dyDescent="0.2">
      <c r="A22" s="10" t="s">
        <v>12</v>
      </c>
      <c r="B22" s="11" t="s">
        <v>13</v>
      </c>
      <c r="C22" s="12">
        <v>42681</v>
      </c>
      <c r="D22" s="10" t="s">
        <v>17</v>
      </c>
      <c r="E22" s="13">
        <v>335</v>
      </c>
      <c r="F22" s="11">
        <v>2</v>
      </c>
      <c r="G22" s="14">
        <f t="shared" si="0"/>
        <v>670</v>
      </c>
    </row>
    <row r="23" spans="1:7" x14ac:dyDescent="0.2">
      <c r="A23" s="10" t="s">
        <v>12</v>
      </c>
      <c r="B23" s="11" t="s">
        <v>13</v>
      </c>
      <c r="C23" s="12">
        <v>42681</v>
      </c>
      <c r="D23" s="10" t="s">
        <v>17</v>
      </c>
      <c r="E23" s="13">
        <v>335</v>
      </c>
      <c r="F23" s="11">
        <v>2</v>
      </c>
      <c r="G23" s="14">
        <f t="shared" si="0"/>
        <v>670</v>
      </c>
    </row>
    <row r="24" spans="1:7" x14ac:dyDescent="0.2">
      <c r="A24" s="10" t="s">
        <v>12</v>
      </c>
      <c r="B24" s="11" t="s">
        <v>13</v>
      </c>
      <c r="C24" s="12">
        <v>42681</v>
      </c>
      <c r="D24" s="10" t="s">
        <v>17</v>
      </c>
      <c r="E24" s="13">
        <v>335</v>
      </c>
      <c r="F24" s="11">
        <v>3</v>
      </c>
      <c r="G24" s="14">
        <f t="shared" si="0"/>
        <v>1005</v>
      </c>
    </row>
    <row r="25" spans="1:7" x14ac:dyDescent="0.2">
      <c r="A25" s="10" t="s">
        <v>12</v>
      </c>
      <c r="B25" s="11" t="s">
        <v>13</v>
      </c>
      <c r="C25" s="12">
        <v>42681</v>
      </c>
      <c r="D25" s="10" t="s">
        <v>17</v>
      </c>
      <c r="E25" s="13">
        <v>335</v>
      </c>
      <c r="F25" s="11">
        <v>4</v>
      </c>
      <c r="G25" s="14">
        <f t="shared" si="0"/>
        <v>1340</v>
      </c>
    </row>
    <row r="26" spans="1:7" x14ac:dyDescent="0.2">
      <c r="A26" s="10" t="s">
        <v>12</v>
      </c>
      <c r="B26" s="11" t="s">
        <v>13</v>
      </c>
      <c r="C26" s="12">
        <v>42681</v>
      </c>
      <c r="D26" s="10" t="s">
        <v>17</v>
      </c>
      <c r="E26" s="13">
        <v>335</v>
      </c>
      <c r="F26" s="11">
        <v>5</v>
      </c>
      <c r="G26" s="14">
        <f t="shared" si="0"/>
        <v>1675</v>
      </c>
    </row>
    <row r="27" spans="1:7" x14ac:dyDescent="0.2">
      <c r="A27" s="10" t="s">
        <v>12</v>
      </c>
      <c r="B27" s="11" t="s">
        <v>13</v>
      </c>
      <c r="C27" s="12">
        <v>42706</v>
      </c>
      <c r="D27" s="10" t="s">
        <v>17</v>
      </c>
      <c r="E27" s="13">
        <v>335</v>
      </c>
      <c r="F27" s="11">
        <v>3</v>
      </c>
      <c r="G27" s="14">
        <f t="shared" si="0"/>
        <v>1005</v>
      </c>
    </row>
    <row r="28" spans="1:7" x14ac:dyDescent="0.2">
      <c r="A28" s="10" t="s">
        <v>12</v>
      </c>
      <c r="B28" s="11" t="s">
        <v>13</v>
      </c>
      <c r="C28" s="12">
        <v>42709</v>
      </c>
      <c r="D28" s="10" t="s">
        <v>17</v>
      </c>
      <c r="E28" s="13">
        <v>335</v>
      </c>
      <c r="F28" s="11">
        <v>4</v>
      </c>
      <c r="G28" s="14">
        <f t="shared" si="0"/>
        <v>1340</v>
      </c>
    </row>
    <row r="29" spans="1:7" x14ac:dyDescent="0.2">
      <c r="A29" s="10" t="s">
        <v>12</v>
      </c>
      <c r="B29" s="11" t="s">
        <v>13</v>
      </c>
      <c r="C29" s="12">
        <v>42712</v>
      </c>
      <c r="D29" s="10" t="s">
        <v>17</v>
      </c>
      <c r="E29" s="13">
        <v>335</v>
      </c>
      <c r="F29" s="11">
        <v>4</v>
      </c>
      <c r="G29" s="14">
        <f t="shared" si="0"/>
        <v>1340</v>
      </c>
    </row>
    <row r="30" spans="1:7" x14ac:dyDescent="0.2">
      <c r="A30" s="10" t="s">
        <v>12</v>
      </c>
      <c r="B30" s="11" t="s">
        <v>13</v>
      </c>
      <c r="C30" s="12">
        <v>42715</v>
      </c>
      <c r="D30" s="10" t="s">
        <v>17</v>
      </c>
      <c r="E30" s="13">
        <v>335</v>
      </c>
      <c r="F30" s="11">
        <v>5</v>
      </c>
      <c r="G30" s="14">
        <f t="shared" si="0"/>
        <v>1675</v>
      </c>
    </row>
    <row r="31" spans="1:7" x14ac:dyDescent="0.2">
      <c r="A31" s="10" t="s">
        <v>18</v>
      </c>
      <c r="B31" s="11" t="s">
        <v>9</v>
      </c>
      <c r="C31" s="12">
        <v>42566</v>
      </c>
      <c r="D31" s="10" t="s">
        <v>11</v>
      </c>
      <c r="E31" s="13">
        <v>150</v>
      </c>
      <c r="F31" s="11">
        <v>4</v>
      </c>
      <c r="G31" s="14">
        <f t="shared" si="0"/>
        <v>600</v>
      </c>
    </row>
    <row r="32" spans="1:7" x14ac:dyDescent="0.2">
      <c r="A32" s="10" t="s">
        <v>18</v>
      </c>
      <c r="B32" s="11" t="s">
        <v>9</v>
      </c>
      <c r="C32" s="12">
        <v>42618</v>
      </c>
      <c r="D32" s="10" t="s">
        <v>11</v>
      </c>
      <c r="E32" s="13">
        <v>130</v>
      </c>
      <c r="F32" s="11">
        <v>2</v>
      </c>
      <c r="G32" s="14">
        <f t="shared" si="0"/>
        <v>260</v>
      </c>
    </row>
    <row r="33" spans="1:7" x14ac:dyDescent="0.2">
      <c r="A33" s="10" t="s">
        <v>18</v>
      </c>
      <c r="B33" s="11" t="s">
        <v>9</v>
      </c>
      <c r="C33" s="12">
        <v>42628</v>
      </c>
      <c r="D33" s="10" t="s">
        <v>11</v>
      </c>
      <c r="E33" s="13">
        <v>150</v>
      </c>
      <c r="F33" s="11">
        <v>4</v>
      </c>
      <c r="G33" s="14">
        <f t="shared" si="0"/>
        <v>600</v>
      </c>
    </row>
    <row r="34" spans="1:7" x14ac:dyDescent="0.2">
      <c r="A34" s="10" t="s">
        <v>18</v>
      </c>
      <c r="B34" s="11" t="s">
        <v>9</v>
      </c>
      <c r="C34" s="12">
        <v>42660</v>
      </c>
      <c r="D34" s="10" t="s">
        <v>11</v>
      </c>
      <c r="E34" s="13">
        <v>130</v>
      </c>
      <c r="F34" s="11">
        <v>6</v>
      </c>
      <c r="G34" s="14">
        <f t="shared" si="0"/>
        <v>780</v>
      </c>
    </row>
    <row r="35" spans="1:7" x14ac:dyDescent="0.2">
      <c r="A35" s="10" t="s">
        <v>19</v>
      </c>
      <c r="B35" s="11" t="s">
        <v>9</v>
      </c>
      <c r="C35" s="12">
        <v>42587</v>
      </c>
      <c r="D35" s="10" t="s">
        <v>11</v>
      </c>
      <c r="E35" s="13">
        <v>130</v>
      </c>
      <c r="F35" s="11">
        <v>4</v>
      </c>
      <c r="G35" s="14">
        <f t="shared" si="0"/>
        <v>520</v>
      </c>
    </row>
    <row r="36" spans="1:7" x14ac:dyDescent="0.2">
      <c r="A36" s="10" t="s">
        <v>19</v>
      </c>
      <c r="B36" s="11" t="s">
        <v>9</v>
      </c>
      <c r="C36" s="12">
        <v>42618</v>
      </c>
      <c r="D36" s="10" t="s">
        <v>11</v>
      </c>
      <c r="E36" s="13">
        <v>150</v>
      </c>
      <c r="F36" s="11">
        <v>5</v>
      </c>
      <c r="G36" s="14">
        <f t="shared" si="0"/>
        <v>750</v>
      </c>
    </row>
    <row r="37" spans="1:7" x14ac:dyDescent="0.2">
      <c r="A37" s="10" t="s">
        <v>19</v>
      </c>
      <c r="B37" s="11" t="s">
        <v>9</v>
      </c>
      <c r="C37" s="12">
        <v>42676</v>
      </c>
      <c r="D37" s="10" t="s">
        <v>11</v>
      </c>
      <c r="E37" s="13">
        <v>130</v>
      </c>
      <c r="F37" s="11">
        <v>2</v>
      </c>
      <c r="G37" s="14">
        <f t="shared" si="0"/>
        <v>260</v>
      </c>
    </row>
    <row r="38" spans="1:7" x14ac:dyDescent="0.2">
      <c r="A38" s="10" t="s">
        <v>19</v>
      </c>
      <c r="B38" s="11" t="s">
        <v>9</v>
      </c>
      <c r="C38" s="12">
        <v>42680</v>
      </c>
      <c r="D38" s="10" t="s">
        <v>10</v>
      </c>
      <c r="E38" s="13">
        <v>90</v>
      </c>
      <c r="F38" s="11">
        <v>5</v>
      </c>
      <c r="G38" s="14">
        <f t="shared" si="0"/>
        <v>450</v>
      </c>
    </row>
    <row r="39" spans="1:7" x14ac:dyDescent="0.2">
      <c r="A39" s="10" t="s">
        <v>19</v>
      </c>
      <c r="B39" s="11" t="s">
        <v>9</v>
      </c>
      <c r="C39" s="12">
        <v>42680</v>
      </c>
      <c r="D39" s="10" t="s">
        <v>10</v>
      </c>
      <c r="E39" s="13">
        <v>120</v>
      </c>
      <c r="F39" s="11">
        <v>3</v>
      </c>
      <c r="G39" s="14">
        <f t="shared" si="0"/>
        <v>360</v>
      </c>
    </row>
    <row r="40" spans="1:7" x14ac:dyDescent="0.2">
      <c r="A40" s="10" t="s">
        <v>19</v>
      </c>
      <c r="B40" s="11" t="s">
        <v>9</v>
      </c>
      <c r="C40" s="12">
        <v>42680</v>
      </c>
      <c r="D40" s="10" t="s">
        <v>10</v>
      </c>
      <c r="E40" s="13">
        <v>120</v>
      </c>
      <c r="F40" s="11">
        <v>4</v>
      </c>
      <c r="G40" s="14">
        <f t="shared" si="0"/>
        <v>480</v>
      </c>
    </row>
    <row r="41" spans="1:7" x14ac:dyDescent="0.2">
      <c r="A41" s="10" t="s">
        <v>19</v>
      </c>
      <c r="B41" s="11" t="s">
        <v>9</v>
      </c>
      <c r="C41" s="12">
        <v>42680</v>
      </c>
      <c r="D41" s="10" t="s">
        <v>11</v>
      </c>
      <c r="E41" s="13">
        <v>130</v>
      </c>
      <c r="F41" s="11">
        <v>2</v>
      </c>
      <c r="G41" s="14">
        <f t="shared" si="0"/>
        <v>260</v>
      </c>
    </row>
    <row r="42" spans="1:7" x14ac:dyDescent="0.2">
      <c r="A42" s="10" t="s">
        <v>19</v>
      </c>
      <c r="B42" s="11" t="s">
        <v>9</v>
      </c>
      <c r="C42" s="12">
        <v>42680</v>
      </c>
      <c r="D42" s="10" t="s">
        <v>11</v>
      </c>
      <c r="E42" s="13">
        <v>150</v>
      </c>
      <c r="F42" s="11">
        <v>4</v>
      </c>
      <c r="G42" s="14">
        <f t="shared" si="0"/>
        <v>600</v>
      </c>
    </row>
    <row r="43" spans="1:7" x14ac:dyDescent="0.2">
      <c r="A43" s="10" t="s">
        <v>19</v>
      </c>
      <c r="B43" s="11" t="s">
        <v>13</v>
      </c>
      <c r="C43" s="12">
        <v>42686</v>
      </c>
      <c r="D43" s="10" t="s">
        <v>20</v>
      </c>
      <c r="E43" s="13">
        <v>9.9</v>
      </c>
      <c r="F43" s="11">
        <v>2</v>
      </c>
      <c r="G43" s="14">
        <f t="shared" si="0"/>
        <v>19.8</v>
      </c>
    </row>
    <row r="44" spans="1:7" x14ac:dyDescent="0.2">
      <c r="A44" s="10" t="s">
        <v>19</v>
      </c>
      <c r="B44" s="11" t="s">
        <v>13</v>
      </c>
      <c r="C44" s="12">
        <v>42686</v>
      </c>
      <c r="D44" s="10" t="s">
        <v>20</v>
      </c>
      <c r="E44" s="13">
        <v>9.9</v>
      </c>
      <c r="F44" s="11">
        <v>4</v>
      </c>
      <c r="G44" s="14">
        <f t="shared" si="0"/>
        <v>39.6</v>
      </c>
    </row>
    <row r="45" spans="1:7" x14ac:dyDescent="0.2">
      <c r="A45" s="10" t="s">
        <v>19</v>
      </c>
      <c r="B45" s="11" t="s">
        <v>13</v>
      </c>
      <c r="C45" s="12">
        <v>42686</v>
      </c>
      <c r="D45" s="10" t="s">
        <v>17</v>
      </c>
      <c r="E45" s="13">
        <v>335</v>
      </c>
      <c r="F45" s="11">
        <v>4</v>
      </c>
      <c r="G45" s="14">
        <f t="shared" si="0"/>
        <v>1340</v>
      </c>
    </row>
    <row r="46" spans="1:7" x14ac:dyDescent="0.2">
      <c r="A46" s="10" t="s">
        <v>19</v>
      </c>
      <c r="B46" s="11" t="s">
        <v>13</v>
      </c>
      <c r="C46" s="12">
        <v>42686</v>
      </c>
      <c r="D46" s="10" t="s">
        <v>16</v>
      </c>
      <c r="E46" s="13">
        <v>450</v>
      </c>
      <c r="F46" s="11">
        <v>3</v>
      </c>
      <c r="G46" s="14">
        <f t="shared" si="0"/>
        <v>1350</v>
      </c>
    </row>
    <row r="47" spans="1:7" x14ac:dyDescent="0.2">
      <c r="A47" s="10" t="s">
        <v>19</v>
      </c>
      <c r="B47" s="11" t="s">
        <v>13</v>
      </c>
      <c r="C47" s="12">
        <v>42686</v>
      </c>
      <c r="D47" s="10" t="s">
        <v>16</v>
      </c>
      <c r="E47" s="13">
        <v>450</v>
      </c>
      <c r="F47" s="11">
        <v>4</v>
      </c>
      <c r="G47" s="14">
        <f t="shared" si="0"/>
        <v>1800</v>
      </c>
    </row>
    <row r="48" spans="1:7" x14ac:dyDescent="0.2">
      <c r="A48" s="10" t="s">
        <v>19</v>
      </c>
      <c r="B48" s="11" t="s">
        <v>9</v>
      </c>
      <c r="C48" s="12">
        <v>42706</v>
      </c>
      <c r="D48" s="10" t="s">
        <v>11</v>
      </c>
      <c r="E48" s="13">
        <v>150</v>
      </c>
      <c r="F48" s="11">
        <v>4</v>
      </c>
      <c r="G48" s="14">
        <f t="shared" si="0"/>
        <v>600</v>
      </c>
    </row>
    <row r="49" spans="1:7" x14ac:dyDescent="0.2">
      <c r="A49" s="10" t="s">
        <v>19</v>
      </c>
      <c r="B49" s="11" t="s">
        <v>13</v>
      </c>
      <c r="C49" s="12">
        <v>42706</v>
      </c>
      <c r="D49" s="10" t="s">
        <v>16</v>
      </c>
      <c r="E49" s="13">
        <v>450</v>
      </c>
      <c r="F49" s="11">
        <v>2</v>
      </c>
      <c r="G49" s="14">
        <f t="shared" si="0"/>
        <v>900</v>
      </c>
    </row>
    <row r="50" spans="1:7" x14ac:dyDescent="0.2">
      <c r="A50" s="10" t="s">
        <v>19</v>
      </c>
      <c r="B50" s="11" t="s">
        <v>9</v>
      </c>
      <c r="C50" s="12">
        <v>42709</v>
      </c>
      <c r="D50" s="10" t="s">
        <v>11</v>
      </c>
      <c r="E50" s="13">
        <v>130</v>
      </c>
      <c r="F50" s="11">
        <v>4</v>
      </c>
      <c r="G50" s="14">
        <f t="shared" si="0"/>
        <v>520</v>
      </c>
    </row>
    <row r="51" spans="1:7" x14ac:dyDescent="0.2">
      <c r="A51" s="10" t="s">
        <v>19</v>
      </c>
      <c r="B51" s="11" t="s">
        <v>13</v>
      </c>
      <c r="C51" s="12">
        <v>42709</v>
      </c>
      <c r="D51" s="10" t="s">
        <v>17</v>
      </c>
      <c r="E51" s="13">
        <v>335</v>
      </c>
      <c r="F51" s="11">
        <v>2</v>
      </c>
      <c r="G51" s="14">
        <f t="shared" si="0"/>
        <v>670</v>
      </c>
    </row>
    <row r="52" spans="1:7" x14ac:dyDescent="0.2">
      <c r="A52" s="10" t="s">
        <v>19</v>
      </c>
      <c r="B52" s="11" t="s">
        <v>13</v>
      </c>
      <c r="C52" s="12">
        <v>42712</v>
      </c>
      <c r="D52" s="10" t="s">
        <v>20</v>
      </c>
      <c r="E52" s="13">
        <v>9.9</v>
      </c>
      <c r="F52" s="11">
        <v>3</v>
      </c>
      <c r="G52" s="14">
        <f t="shared" si="0"/>
        <v>29.700000000000003</v>
      </c>
    </row>
    <row r="53" spans="1:7" x14ac:dyDescent="0.2">
      <c r="A53" s="10" t="s">
        <v>19</v>
      </c>
      <c r="B53" s="11" t="s">
        <v>9</v>
      </c>
      <c r="C53" s="12">
        <v>42712</v>
      </c>
      <c r="D53" s="10" t="s">
        <v>10</v>
      </c>
      <c r="E53" s="13">
        <v>120</v>
      </c>
      <c r="F53" s="11">
        <v>2</v>
      </c>
      <c r="G53" s="14">
        <f t="shared" si="0"/>
        <v>240</v>
      </c>
    </row>
    <row r="54" spans="1:7" x14ac:dyDescent="0.2">
      <c r="A54" s="10" t="s">
        <v>19</v>
      </c>
      <c r="B54" s="11" t="s">
        <v>13</v>
      </c>
      <c r="C54" s="12">
        <v>42715</v>
      </c>
      <c r="D54" s="10" t="s">
        <v>20</v>
      </c>
      <c r="E54" s="13">
        <v>9.9</v>
      </c>
      <c r="F54" s="11">
        <v>3</v>
      </c>
      <c r="G54" s="14">
        <f t="shared" si="0"/>
        <v>29.700000000000003</v>
      </c>
    </row>
    <row r="55" spans="1:7" x14ac:dyDescent="0.2">
      <c r="A55" s="10" t="s">
        <v>19</v>
      </c>
      <c r="B55" s="11" t="s">
        <v>9</v>
      </c>
      <c r="C55" s="12">
        <v>42715</v>
      </c>
      <c r="D55" s="10" t="s">
        <v>10</v>
      </c>
      <c r="E55" s="13">
        <v>120</v>
      </c>
      <c r="F55" s="11">
        <v>4</v>
      </c>
      <c r="G55" s="14">
        <f t="shared" si="0"/>
        <v>480</v>
      </c>
    </row>
    <row r="56" spans="1:7" x14ac:dyDescent="0.2">
      <c r="A56" s="10" t="s">
        <v>19</v>
      </c>
      <c r="B56" s="11" t="s">
        <v>9</v>
      </c>
      <c r="C56" s="12">
        <v>42718</v>
      </c>
      <c r="D56" s="10" t="s">
        <v>10</v>
      </c>
      <c r="E56" s="13">
        <v>90</v>
      </c>
      <c r="F56" s="11">
        <v>2</v>
      </c>
      <c r="G56" s="14">
        <f t="shared" si="0"/>
        <v>180</v>
      </c>
    </row>
    <row r="57" spans="1:7" x14ac:dyDescent="0.2">
      <c r="A57" s="10" t="s">
        <v>21</v>
      </c>
      <c r="B57" s="11" t="s">
        <v>13</v>
      </c>
      <c r="C57" s="12">
        <v>42554</v>
      </c>
      <c r="D57" s="10" t="s">
        <v>20</v>
      </c>
      <c r="E57" s="13">
        <v>9.9</v>
      </c>
      <c r="F57" s="11">
        <v>5</v>
      </c>
      <c r="G57" s="14">
        <f t="shared" si="0"/>
        <v>49.5</v>
      </c>
    </row>
    <row r="58" spans="1:7" x14ac:dyDescent="0.2">
      <c r="A58" s="10" t="s">
        <v>21</v>
      </c>
      <c r="B58" s="11" t="s">
        <v>9</v>
      </c>
      <c r="C58" s="12">
        <v>42655</v>
      </c>
      <c r="D58" s="10" t="s">
        <v>11</v>
      </c>
      <c r="E58" s="13">
        <v>130</v>
      </c>
      <c r="F58" s="11">
        <v>4</v>
      </c>
      <c r="G58" s="14">
        <f t="shared" si="0"/>
        <v>520</v>
      </c>
    </row>
    <row r="59" spans="1:7" x14ac:dyDescent="0.2">
      <c r="A59" s="10" t="s">
        <v>21</v>
      </c>
      <c r="B59" s="11" t="s">
        <v>13</v>
      </c>
      <c r="C59" s="12">
        <v>42660</v>
      </c>
      <c r="D59" s="10" t="s">
        <v>17</v>
      </c>
      <c r="E59" s="13">
        <v>335</v>
      </c>
      <c r="F59" s="11">
        <v>3</v>
      </c>
      <c r="G59" s="14">
        <f t="shared" si="0"/>
        <v>1005</v>
      </c>
    </row>
    <row r="60" spans="1:7" x14ac:dyDescent="0.2">
      <c r="A60" s="10" t="s">
        <v>21</v>
      </c>
      <c r="B60" s="11" t="s">
        <v>13</v>
      </c>
      <c r="C60" s="12">
        <v>42676</v>
      </c>
      <c r="D60" s="10" t="s">
        <v>17</v>
      </c>
      <c r="E60" s="13">
        <v>335</v>
      </c>
      <c r="F60" s="11">
        <v>2</v>
      </c>
      <c r="G60" s="14">
        <f t="shared" si="0"/>
        <v>670</v>
      </c>
    </row>
    <row r="61" spans="1:7" x14ac:dyDescent="0.2">
      <c r="A61" s="10" t="s">
        <v>21</v>
      </c>
      <c r="B61" s="11" t="s">
        <v>13</v>
      </c>
      <c r="C61" s="12">
        <v>42683</v>
      </c>
      <c r="D61" s="10" t="s">
        <v>17</v>
      </c>
      <c r="E61" s="13">
        <v>335</v>
      </c>
      <c r="F61" s="11">
        <v>2</v>
      </c>
      <c r="G61" s="14">
        <f t="shared" si="0"/>
        <v>670</v>
      </c>
    </row>
    <row r="62" spans="1:7" x14ac:dyDescent="0.2">
      <c r="A62" s="15" t="s">
        <v>21</v>
      </c>
      <c r="B62" s="15" t="s">
        <v>13</v>
      </c>
      <c r="C62" s="16">
        <v>42683</v>
      </c>
      <c r="D62" s="15" t="s">
        <v>17</v>
      </c>
      <c r="E62" s="17">
        <v>335</v>
      </c>
      <c r="F62" s="11">
        <v>2</v>
      </c>
      <c r="G62" s="18">
        <f t="shared" si="0"/>
        <v>670</v>
      </c>
    </row>
    <row r="63" spans="1:7" x14ac:dyDescent="0.2">
      <c r="A63" s="10" t="s">
        <v>21</v>
      </c>
      <c r="B63" s="11" t="s">
        <v>13</v>
      </c>
      <c r="C63" s="12">
        <v>42683</v>
      </c>
      <c r="D63" s="10" t="s">
        <v>17</v>
      </c>
      <c r="E63" s="13">
        <v>335</v>
      </c>
      <c r="F63" s="11">
        <v>3</v>
      </c>
      <c r="G63" s="14">
        <f t="shared" si="0"/>
        <v>1005</v>
      </c>
    </row>
    <row r="64" spans="1:7" x14ac:dyDescent="0.2">
      <c r="A64" s="10" t="s">
        <v>21</v>
      </c>
      <c r="B64" s="11" t="s">
        <v>9</v>
      </c>
      <c r="C64" s="12">
        <v>42683</v>
      </c>
      <c r="D64" s="10" t="s">
        <v>17</v>
      </c>
      <c r="E64" s="13">
        <v>335</v>
      </c>
      <c r="F64" s="11">
        <v>4</v>
      </c>
      <c r="G64" s="14">
        <f t="shared" si="0"/>
        <v>1340</v>
      </c>
    </row>
    <row r="65" spans="1:7" x14ac:dyDescent="0.2">
      <c r="A65" s="10" t="s">
        <v>21</v>
      </c>
      <c r="B65" s="11" t="s">
        <v>13</v>
      </c>
      <c r="C65" s="12">
        <v>42683</v>
      </c>
      <c r="D65" s="10" t="s">
        <v>17</v>
      </c>
      <c r="E65" s="13">
        <v>335</v>
      </c>
      <c r="F65" s="11">
        <v>5</v>
      </c>
      <c r="G65" s="14">
        <f t="shared" si="0"/>
        <v>1675</v>
      </c>
    </row>
    <row r="66" spans="1:7" x14ac:dyDescent="0.2">
      <c r="A66" s="10" t="s">
        <v>21</v>
      </c>
      <c r="B66" s="11" t="s">
        <v>13</v>
      </c>
      <c r="C66" s="12">
        <v>42706</v>
      </c>
      <c r="D66" s="10" t="s">
        <v>17</v>
      </c>
      <c r="E66" s="13">
        <v>335</v>
      </c>
      <c r="F66" s="11">
        <v>2</v>
      </c>
      <c r="G66" s="14">
        <f t="shared" si="0"/>
        <v>670</v>
      </c>
    </row>
    <row r="67" spans="1:7" x14ac:dyDescent="0.2">
      <c r="A67" s="10" t="s">
        <v>21</v>
      </c>
      <c r="B67" s="11" t="s">
        <v>13</v>
      </c>
      <c r="C67" s="12">
        <v>42712</v>
      </c>
      <c r="D67" s="10" t="s">
        <v>17</v>
      </c>
      <c r="E67" s="13">
        <v>335</v>
      </c>
      <c r="F67" s="11">
        <v>3</v>
      </c>
      <c r="G67" s="14">
        <f t="shared" si="0"/>
        <v>1005</v>
      </c>
    </row>
    <row r="68" spans="1:7" x14ac:dyDescent="0.2">
      <c r="A68" s="10" t="s">
        <v>21</v>
      </c>
      <c r="B68" s="11" t="s">
        <v>13</v>
      </c>
      <c r="C68" s="12">
        <v>42715</v>
      </c>
      <c r="D68" s="10" t="s">
        <v>17</v>
      </c>
      <c r="E68" s="13">
        <v>335</v>
      </c>
      <c r="F68" s="11">
        <v>5</v>
      </c>
      <c r="G68" s="14">
        <f t="shared" ref="G68:G107" si="1">E68*F68</f>
        <v>1675</v>
      </c>
    </row>
    <row r="69" spans="1:7" x14ac:dyDescent="0.2">
      <c r="A69" s="10" t="s">
        <v>21</v>
      </c>
      <c r="B69" s="11" t="s">
        <v>13</v>
      </c>
      <c r="C69" s="12">
        <v>42718</v>
      </c>
      <c r="D69" s="10" t="s">
        <v>17</v>
      </c>
      <c r="E69" s="13">
        <v>335</v>
      </c>
      <c r="F69" s="11">
        <v>5</v>
      </c>
      <c r="G69" s="14">
        <f t="shared" si="1"/>
        <v>1675</v>
      </c>
    </row>
    <row r="70" spans="1:7" x14ac:dyDescent="0.2">
      <c r="A70" s="10" t="s">
        <v>22</v>
      </c>
      <c r="B70" s="11" t="s">
        <v>13</v>
      </c>
      <c r="C70" s="12">
        <v>42559</v>
      </c>
      <c r="D70" s="10" t="s">
        <v>23</v>
      </c>
      <c r="E70" s="13">
        <v>467</v>
      </c>
      <c r="F70" s="11">
        <v>3</v>
      </c>
      <c r="G70" s="14">
        <f t="shared" si="1"/>
        <v>1401</v>
      </c>
    </row>
    <row r="71" spans="1:7" x14ac:dyDescent="0.2">
      <c r="A71" s="10" t="s">
        <v>22</v>
      </c>
      <c r="B71" s="11" t="s">
        <v>13</v>
      </c>
      <c r="C71" s="12">
        <v>42592</v>
      </c>
      <c r="D71" s="10" t="s">
        <v>23</v>
      </c>
      <c r="E71" s="13">
        <v>533</v>
      </c>
      <c r="F71" s="11">
        <v>3</v>
      </c>
      <c r="G71" s="14">
        <f t="shared" si="1"/>
        <v>1599</v>
      </c>
    </row>
    <row r="72" spans="1:7" x14ac:dyDescent="0.2">
      <c r="A72" s="10" t="s">
        <v>22</v>
      </c>
      <c r="B72" s="11" t="s">
        <v>13</v>
      </c>
      <c r="C72" s="12">
        <v>42660</v>
      </c>
      <c r="D72" s="10" t="s">
        <v>20</v>
      </c>
      <c r="E72" s="13">
        <v>9.9</v>
      </c>
      <c r="F72" s="11">
        <v>4</v>
      </c>
      <c r="G72" s="14">
        <f t="shared" si="1"/>
        <v>39.6</v>
      </c>
    </row>
    <row r="73" spans="1:7" x14ac:dyDescent="0.2">
      <c r="A73" s="10" t="s">
        <v>22</v>
      </c>
      <c r="B73" s="11" t="s">
        <v>13</v>
      </c>
      <c r="C73" s="12">
        <v>42676</v>
      </c>
      <c r="D73" s="10" t="s">
        <v>16</v>
      </c>
      <c r="E73" s="13">
        <v>450</v>
      </c>
      <c r="F73" s="11">
        <v>5</v>
      </c>
      <c r="G73" s="14">
        <f t="shared" si="1"/>
        <v>2250</v>
      </c>
    </row>
    <row r="74" spans="1:7" x14ac:dyDescent="0.2">
      <c r="A74" s="10" t="s">
        <v>22</v>
      </c>
      <c r="B74" s="11" t="s">
        <v>13</v>
      </c>
      <c r="C74" s="12">
        <v>42682</v>
      </c>
      <c r="D74" s="10" t="s">
        <v>17</v>
      </c>
      <c r="E74" s="13">
        <v>335</v>
      </c>
      <c r="F74" s="11">
        <v>2</v>
      </c>
      <c r="G74" s="14">
        <f t="shared" si="1"/>
        <v>670</v>
      </c>
    </row>
    <row r="75" spans="1:7" x14ac:dyDescent="0.2">
      <c r="A75" s="15" t="s">
        <v>22</v>
      </c>
      <c r="B75" s="11" t="s">
        <v>13</v>
      </c>
      <c r="C75" s="12">
        <v>42682</v>
      </c>
      <c r="D75" s="10" t="s">
        <v>17</v>
      </c>
      <c r="E75" s="13">
        <v>335</v>
      </c>
      <c r="F75" s="11">
        <v>2</v>
      </c>
      <c r="G75" s="14">
        <f t="shared" si="1"/>
        <v>670</v>
      </c>
    </row>
    <row r="76" spans="1:7" x14ac:dyDescent="0.2">
      <c r="A76" s="10" t="s">
        <v>22</v>
      </c>
      <c r="B76" s="11" t="s">
        <v>13</v>
      </c>
      <c r="C76" s="12">
        <v>42682</v>
      </c>
      <c r="D76" s="10" t="s">
        <v>17</v>
      </c>
      <c r="E76" s="13">
        <v>335</v>
      </c>
      <c r="F76" s="11">
        <v>5</v>
      </c>
      <c r="G76" s="14">
        <f t="shared" si="1"/>
        <v>1675</v>
      </c>
    </row>
    <row r="77" spans="1:7" x14ac:dyDescent="0.2">
      <c r="A77" s="10" t="s">
        <v>22</v>
      </c>
      <c r="B77" s="11" t="s">
        <v>13</v>
      </c>
      <c r="C77" s="12">
        <v>42682</v>
      </c>
      <c r="D77" s="10" t="s">
        <v>16</v>
      </c>
      <c r="E77" s="13">
        <v>450</v>
      </c>
      <c r="F77" s="11">
        <v>2</v>
      </c>
      <c r="G77" s="14">
        <f t="shared" si="1"/>
        <v>900</v>
      </c>
    </row>
    <row r="78" spans="1:7" x14ac:dyDescent="0.2">
      <c r="A78" s="10" t="s">
        <v>22</v>
      </c>
      <c r="B78" s="11" t="s">
        <v>13</v>
      </c>
      <c r="C78" s="12">
        <v>42682</v>
      </c>
      <c r="D78" s="10" t="s">
        <v>16</v>
      </c>
      <c r="E78" s="13">
        <v>450</v>
      </c>
      <c r="F78" s="11">
        <v>3</v>
      </c>
      <c r="G78" s="14">
        <f t="shared" si="1"/>
        <v>1350</v>
      </c>
    </row>
    <row r="79" spans="1:7" x14ac:dyDescent="0.2">
      <c r="A79" s="10" t="s">
        <v>22</v>
      </c>
      <c r="B79" s="11" t="s">
        <v>13</v>
      </c>
      <c r="C79" s="12">
        <v>42709</v>
      </c>
      <c r="D79" s="10" t="s">
        <v>20</v>
      </c>
      <c r="E79" s="13">
        <v>9.9</v>
      </c>
      <c r="F79" s="11">
        <v>4</v>
      </c>
      <c r="G79" s="14">
        <f t="shared" si="1"/>
        <v>39.6</v>
      </c>
    </row>
    <row r="80" spans="1:7" x14ac:dyDescent="0.2">
      <c r="A80" s="10" t="s">
        <v>22</v>
      </c>
      <c r="B80" s="11" t="s">
        <v>13</v>
      </c>
      <c r="C80" s="12">
        <v>42712</v>
      </c>
      <c r="D80" s="10" t="s">
        <v>20</v>
      </c>
      <c r="E80" s="13">
        <v>9.9</v>
      </c>
      <c r="F80" s="11">
        <v>4</v>
      </c>
      <c r="G80" s="14">
        <f t="shared" si="1"/>
        <v>39.6</v>
      </c>
    </row>
    <row r="81" spans="1:7" x14ac:dyDescent="0.2">
      <c r="A81" s="10" t="s">
        <v>22</v>
      </c>
      <c r="B81" s="11" t="s">
        <v>13</v>
      </c>
      <c r="C81" s="12">
        <v>42715</v>
      </c>
      <c r="D81" s="10" t="s">
        <v>20</v>
      </c>
      <c r="E81" s="13">
        <v>9.9</v>
      </c>
      <c r="F81" s="11">
        <v>5</v>
      </c>
      <c r="G81" s="14">
        <f t="shared" si="1"/>
        <v>49.5</v>
      </c>
    </row>
    <row r="82" spans="1:7" x14ac:dyDescent="0.2">
      <c r="A82" s="10" t="s">
        <v>22</v>
      </c>
      <c r="B82" s="11" t="s">
        <v>13</v>
      </c>
      <c r="C82" s="12">
        <v>42718</v>
      </c>
      <c r="D82" s="10" t="s">
        <v>23</v>
      </c>
      <c r="E82" s="13">
        <v>533</v>
      </c>
      <c r="F82" s="11">
        <v>2</v>
      </c>
      <c r="G82" s="14">
        <f t="shared" si="1"/>
        <v>1066</v>
      </c>
    </row>
    <row r="83" spans="1:7" x14ac:dyDescent="0.2">
      <c r="A83" s="10" t="s">
        <v>24</v>
      </c>
      <c r="B83" s="11" t="s">
        <v>9</v>
      </c>
      <c r="C83" s="12">
        <v>42566</v>
      </c>
      <c r="D83" s="10" t="s">
        <v>11</v>
      </c>
      <c r="E83" s="13">
        <v>130</v>
      </c>
      <c r="F83" s="11">
        <v>4</v>
      </c>
      <c r="G83" s="14">
        <f t="shared" si="1"/>
        <v>520</v>
      </c>
    </row>
    <row r="84" spans="1:7" x14ac:dyDescent="0.2">
      <c r="A84" s="10" t="s">
        <v>24</v>
      </c>
      <c r="B84" s="11" t="s">
        <v>9</v>
      </c>
      <c r="C84" s="12">
        <v>42660</v>
      </c>
      <c r="D84" s="10" t="s">
        <v>11</v>
      </c>
      <c r="E84" s="13">
        <v>150</v>
      </c>
      <c r="F84" s="11">
        <v>3</v>
      </c>
      <c r="G84" s="14">
        <f t="shared" si="1"/>
        <v>450</v>
      </c>
    </row>
    <row r="85" spans="1:7" x14ac:dyDescent="0.2">
      <c r="A85" s="10" t="s">
        <v>24</v>
      </c>
      <c r="B85" s="11" t="s">
        <v>9</v>
      </c>
      <c r="C85" s="12">
        <v>42679</v>
      </c>
      <c r="D85" s="10" t="s">
        <v>10</v>
      </c>
      <c r="E85" s="13">
        <v>90</v>
      </c>
      <c r="F85" s="11">
        <v>2</v>
      </c>
      <c r="G85" s="14">
        <f t="shared" si="1"/>
        <v>180</v>
      </c>
    </row>
    <row r="86" spans="1:7" x14ac:dyDescent="0.2">
      <c r="A86" s="10" t="s">
        <v>24</v>
      </c>
      <c r="B86" s="11" t="s">
        <v>9</v>
      </c>
      <c r="C86" s="12">
        <v>42679</v>
      </c>
      <c r="D86" s="10" t="s">
        <v>10</v>
      </c>
      <c r="E86" s="13">
        <v>120</v>
      </c>
      <c r="F86" s="11">
        <v>2</v>
      </c>
      <c r="G86" s="14">
        <f t="shared" si="1"/>
        <v>240</v>
      </c>
    </row>
    <row r="87" spans="1:7" x14ac:dyDescent="0.2">
      <c r="A87" s="10" t="s">
        <v>24</v>
      </c>
      <c r="B87" s="11" t="s">
        <v>9</v>
      </c>
      <c r="C87" s="12">
        <v>42679</v>
      </c>
      <c r="D87" s="10" t="s">
        <v>10</v>
      </c>
      <c r="E87" s="13">
        <v>120</v>
      </c>
      <c r="F87" s="11">
        <v>4</v>
      </c>
      <c r="G87" s="14">
        <f t="shared" si="1"/>
        <v>480</v>
      </c>
    </row>
    <row r="88" spans="1:7" x14ac:dyDescent="0.2">
      <c r="A88" s="10" t="s">
        <v>24</v>
      </c>
      <c r="B88" s="11" t="s">
        <v>9</v>
      </c>
      <c r="C88" s="12">
        <v>42679</v>
      </c>
      <c r="D88" s="10" t="s">
        <v>10</v>
      </c>
      <c r="E88" s="13">
        <v>120</v>
      </c>
      <c r="F88" s="11">
        <v>5</v>
      </c>
      <c r="G88" s="14">
        <f t="shared" si="1"/>
        <v>600</v>
      </c>
    </row>
    <row r="89" spans="1:7" x14ac:dyDescent="0.2">
      <c r="A89" s="10" t="s">
        <v>24</v>
      </c>
      <c r="B89" s="11" t="s">
        <v>9</v>
      </c>
      <c r="C89" s="12">
        <v>42679</v>
      </c>
      <c r="D89" s="10" t="s">
        <v>11</v>
      </c>
      <c r="E89" s="13">
        <v>130</v>
      </c>
      <c r="F89" s="11">
        <v>3</v>
      </c>
      <c r="G89" s="14">
        <f t="shared" si="1"/>
        <v>390</v>
      </c>
    </row>
    <row r="90" spans="1:7" x14ac:dyDescent="0.2">
      <c r="A90" s="10" t="s">
        <v>24</v>
      </c>
      <c r="B90" s="11" t="s">
        <v>9</v>
      </c>
      <c r="C90" s="12">
        <v>42706</v>
      </c>
      <c r="D90" s="10" t="s">
        <v>10</v>
      </c>
      <c r="E90" s="13">
        <v>120</v>
      </c>
      <c r="F90" s="11">
        <v>4</v>
      </c>
      <c r="G90" s="14">
        <f t="shared" si="1"/>
        <v>480</v>
      </c>
    </row>
    <row r="91" spans="1:7" x14ac:dyDescent="0.2">
      <c r="A91" s="10" t="s">
        <v>24</v>
      </c>
      <c r="B91" s="11" t="s">
        <v>9</v>
      </c>
      <c r="C91" s="12">
        <v>42709</v>
      </c>
      <c r="D91" s="10" t="s">
        <v>10</v>
      </c>
      <c r="E91" s="13">
        <v>90</v>
      </c>
      <c r="F91" s="11">
        <v>4</v>
      </c>
      <c r="G91" s="14">
        <f t="shared" si="1"/>
        <v>360</v>
      </c>
    </row>
    <row r="92" spans="1:7" x14ac:dyDescent="0.2">
      <c r="A92" s="10" t="s">
        <v>24</v>
      </c>
      <c r="B92" s="11" t="s">
        <v>9</v>
      </c>
      <c r="C92" s="12">
        <v>42712</v>
      </c>
      <c r="D92" s="10" t="s">
        <v>10</v>
      </c>
      <c r="E92" s="13">
        <v>120</v>
      </c>
      <c r="F92" s="11">
        <v>3</v>
      </c>
      <c r="G92" s="14">
        <f t="shared" si="1"/>
        <v>360</v>
      </c>
    </row>
    <row r="93" spans="1:7" x14ac:dyDescent="0.2">
      <c r="A93" s="10" t="s">
        <v>24</v>
      </c>
      <c r="B93" s="11" t="s">
        <v>9</v>
      </c>
      <c r="C93" s="12">
        <v>42715</v>
      </c>
      <c r="D93" s="10" t="s">
        <v>10</v>
      </c>
      <c r="E93" s="13">
        <v>120</v>
      </c>
      <c r="F93" s="11">
        <v>4</v>
      </c>
      <c r="G93" s="14">
        <f t="shared" si="1"/>
        <v>480</v>
      </c>
    </row>
    <row r="94" spans="1:7" x14ac:dyDescent="0.2">
      <c r="A94" s="10" t="s">
        <v>24</v>
      </c>
      <c r="B94" s="11" t="s">
        <v>9</v>
      </c>
      <c r="C94" s="12">
        <v>42718</v>
      </c>
      <c r="D94" s="10" t="s">
        <v>10</v>
      </c>
      <c r="E94" s="13">
        <v>90</v>
      </c>
      <c r="F94" s="11">
        <v>3</v>
      </c>
      <c r="G94" s="14">
        <f t="shared" si="1"/>
        <v>270</v>
      </c>
    </row>
    <row r="95" spans="1:7" x14ac:dyDescent="0.2">
      <c r="A95" s="10" t="s">
        <v>24</v>
      </c>
      <c r="B95" s="11" t="s">
        <v>9</v>
      </c>
      <c r="C95" s="12">
        <v>42718</v>
      </c>
      <c r="D95" s="10" t="s">
        <v>11</v>
      </c>
      <c r="E95" s="13">
        <v>150</v>
      </c>
      <c r="F95" s="11">
        <v>2</v>
      </c>
      <c r="G95" s="14">
        <f t="shared" si="1"/>
        <v>300</v>
      </c>
    </row>
    <row r="96" spans="1:7" x14ac:dyDescent="0.2">
      <c r="A96" s="10" t="s">
        <v>25</v>
      </c>
      <c r="B96" s="11" t="s">
        <v>13</v>
      </c>
      <c r="C96" s="12">
        <v>42597</v>
      </c>
      <c r="D96" s="10" t="s">
        <v>14</v>
      </c>
      <c r="E96" s="13">
        <v>1500</v>
      </c>
      <c r="F96" s="11">
        <v>2</v>
      </c>
      <c r="G96" s="14">
        <f t="shared" si="1"/>
        <v>3000</v>
      </c>
    </row>
    <row r="97" spans="1:7" x14ac:dyDescent="0.2">
      <c r="A97" s="10" t="s">
        <v>25</v>
      </c>
      <c r="B97" s="11" t="s">
        <v>13</v>
      </c>
      <c r="C97" s="12">
        <v>42652</v>
      </c>
      <c r="D97" s="10" t="s">
        <v>20</v>
      </c>
      <c r="E97" s="13">
        <v>9.9</v>
      </c>
      <c r="F97" s="11">
        <v>2</v>
      </c>
      <c r="G97" s="14">
        <f t="shared" si="1"/>
        <v>19.8</v>
      </c>
    </row>
    <row r="98" spans="1:7" x14ac:dyDescent="0.2">
      <c r="A98" s="10" t="s">
        <v>25</v>
      </c>
      <c r="B98" s="11" t="s">
        <v>13</v>
      </c>
      <c r="C98" s="12">
        <v>42676</v>
      </c>
      <c r="D98" s="10" t="s">
        <v>16</v>
      </c>
      <c r="E98" s="13">
        <v>450</v>
      </c>
      <c r="F98" s="11">
        <v>4</v>
      </c>
      <c r="G98" s="14">
        <f t="shared" si="1"/>
        <v>1800</v>
      </c>
    </row>
    <row r="99" spans="1:7" x14ac:dyDescent="0.2">
      <c r="A99" s="10" t="s">
        <v>25</v>
      </c>
      <c r="B99" s="11" t="s">
        <v>13</v>
      </c>
      <c r="C99" s="12">
        <v>42685</v>
      </c>
      <c r="D99" s="10" t="s">
        <v>20</v>
      </c>
      <c r="E99" s="13">
        <v>9.9</v>
      </c>
      <c r="F99" s="11">
        <v>2</v>
      </c>
      <c r="G99" s="14">
        <f t="shared" si="1"/>
        <v>19.8</v>
      </c>
    </row>
    <row r="100" spans="1:7" x14ac:dyDescent="0.2">
      <c r="A100" s="10" t="s">
        <v>25</v>
      </c>
      <c r="B100" s="11" t="s">
        <v>13</v>
      </c>
      <c r="C100" s="12">
        <v>42685</v>
      </c>
      <c r="D100" s="10" t="s">
        <v>20</v>
      </c>
      <c r="E100" s="13">
        <v>9.9</v>
      </c>
      <c r="F100" s="11">
        <v>3</v>
      </c>
      <c r="G100" s="14">
        <f t="shared" si="1"/>
        <v>29.700000000000003</v>
      </c>
    </row>
    <row r="101" spans="1:7" x14ac:dyDescent="0.2">
      <c r="A101" s="10" t="s">
        <v>25</v>
      </c>
      <c r="B101" s="11" t="s">
        <v>13</v>
      </c>
      <c r="C101" s="12">
        <v>42685</v>
      </c>
      <c r="D101" s="10" t="s">
        <v>20</v>
      </c>
      <c r="E101" s="13">
        <v>9.9</v>
      </c>
      <c r="F101" s="11">
        <v>3</v>
      </c>
      <c r="G101" s="14">
        <f t="shared" si="1"/>
        <v>29.700000000000003</v>
      </c>
    </row>
    <row r="102" spans="1:7" x14ac:dyDescent="0.2">
      <c r="A102" s="10" t="s">
        <v>25</v>
      </c>
      <c r="B102" s="11" t="s">
        <v>13</v>
      </c>
      <c r="C102" s="12">
        <v>42685</v>
      </c>
      <c r="D102" s="10" t="s">
        <v>17</v>
      </c>
      <c r="E102" s="13">
        <v>335</v>
      </c>
      <c r="F102" s="11">
        <v>4</v>
      </c>
      <c r="G102" s="14">
        <f t="shared" si="1"/>
        <v>1340</v>
      </c>
    </row>
    <row r="103" spans="1:7" x14ac:dyDescent="0.2">
      <c r="A103" s="10" t="s">
        <v>25</v>
      </c>
      <c r="B103" s="11" t="s">
        <v>13</v>
      </c>
      <c r="C103" s="12">
        <v>42685</v>
      </c>
      <c r="D103" s="10" t="s">
        <v>15</v>
      </c>
      <c r="E103" s="13">
        <v>2000</v>
      </c>
      <c r="F103" s="11">
        <v>3</v>
      </c>
      <c r="G103" s="14">
        <f t="shared" si="1"/>
        <v>6000</v>
      </c>
    </row>
    <row r="104" spans="1:7" x14ac:dyDescent="0.2">
      <c r="A104" s="10" t="s">
        <v>25</v>
      </c>
      <c r="B104" s="11" t="s">
        <v>13</v>
      </c>
      <c r="C104" s="12">
        <v>42706</v>
      </c>
      <c r="D104" s="10" t="s">
        <v>15</v>
      </c>
      <c r="E104" s="13">
        <v>2000</v>
      </c>
      <c r="F104" s="11">
        <v>5</v>
      </c>
      <c r="G104" s="14">
        <f t="shared" si="1"/>
        <v>10000</v>
      </c>
    </row>
    <row r="105" spans="1:7" x14ac:dyDescent="0.2">
      <c r="A105" s="10" t="s">
        <v>25</v>
      </c>
      <c r="B105" s="11" t="s">
        <v>13</v>
      </c>
      <c r="C105" s="12">
        <v>42709</v>
      </c>
      <c r="D105" s="10" t="s">
        <v>15</v>
      </c>
      <c r="E105" s="13">
        <v>2000</v>
      </c>
      <c r="F105" s="11">
        <v>2</v>
      </c>
      <c r="G105" s="14">
        <f t="shared" si="1"/>
        <v>4000</v>
      </c>
    </row>
    <row r="106" spans="1:7" x14ac:dyDescent="0.2">
      <c r="A106" s="10" t="s">
        <v>25</v>
      </c>
      <c r="B106" s="11" t="s">
        <v>13</v>
      </c>
      <c r="C106" s="12">
        <v>42712</v>
      </c>
      <c r="D106" s="10" t="s">
        <v>15</v>
      </c>
      <c r="E106" s="13">
        <v>2000</v>
      </c>
      <c r="F106" s="11">
        <v>3</v>
      </c>
      <c r="G106" s="14">
        <f t="shared" si="1"/>
        <v>6000</v>
      </c>
    </row>
    <row r="107" spans="1:7" x14ac:dyDescent="0.2">
      <c r="A107" s="20" t="s">
        <v>25</v>
      </c>
      <c r="B107" s="21" t="s">
        <v>13</v>
      </c>
      <c r="C107" s="22">
        <v>42718</v>
      </c>
      <c r="D107" s="20" t="s">
        <v>15</v>
      </c>
      <c r="E107" s="23">
        <v>2000</v>
      </c>
      <c r="F107" s="21">
        <v>4</v>
      </c>
      <c r="G107" s="24">
        <f t="shared" si="1"/>
        <v>8000</v>
      </c>
    </row>
    <row r="108" spans="1:7" x14ac:dyDescent="0.2">
      <c r="B108" s="4"/>
    </row>
    <row r="109" spans="1:7" x14ac:dyDescent="0.2">
      <c r="B109" s="4"/>
    </row>
    <row r="110" spans="1:7" x14ac:dyDescent="0.2">
      <c r="B110" s="4"/>
    </row>
    <row r="111" spans="1:7" x14ac:dyDescent="0.2">
      <c r="B111" s="4"/>
    </row>
  </sheetData>
  <mergeCells count="1">
    <mergeCell ref="A1:G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1EB79-DF1B-4495-A6A5-0D5166142BD0}">
  <dimension ref="B3:E38"/>
  <sheetViews>
    <sheetView tabSelected="1" workbookViewId="0">
      <selection activeCell="N28" sqref="N28"/>
    </sheetView>
  </sheetViews>
  <sheetFormatPr defaultRowHeight="15" x14ac:dyDescent="0.25"/>
  <cols>
    <col min="2" max="2" width="21.5703125" bestFit="1" customWidth="1"/>
    <col min="3" max="3" width="11.42578125" bestFit="1" customWidth="1"/>
    <col min="4" max="4" width="13.28515625" bestFit="1" customWidth="1"/>
    <col min="5" max="5" width="14.28515625" bestFit="1" customWidth="1"/>
    <col min="6" max="6" width="9.85546875" bestFit="1" customWidth="1"/>
    <col min="7" max="7" width="12.85546875" bestFit="1" customWidth="1"/>
    <col min="8" max="8" width="11.7109375" bestFit="1" customWidth="1"/>
    <col min="9" max="9" width="17.85546875" bestFit="1" customWidth="1"/>
    <col min="10" max="10" width="12.5703125" bestFit="1" customWidth="1"/>
    <col min="11" max="11" width="10.7109375" bestFit="1" customWidth="1"/>
    <col min="12" max="12" width="13.85546875" bestFit="1" customWidth="1"/>
    <col min="13" max="13" width="12.28515625" bestFit="1" customWidth="1"/>
    <col min="14" max="14" width="13.85546875" bestFit="1" customWidth="1"/>
    <col min="15" max="15" width="17.85546875" bestFit="1" customWidth="1"/>
    <col min="16" max="16" width="13.85546875" bestFit="1" customWidth="1"/>
    <col min="17" max="17" width="12.5703125" bestFit="1" customWidth="1"/>
    <col min="18" max="18" width="13.85546875" bestFit="1" customWidth="1"/>
    <col min="19" max="19" width="17.42578125" bestFit="1" customWidth="1"/>
    <col min="20" max="20" width="18.85546875" bestFit="1" customWidth="1"/>
  </cols>
  <sheetData>
    <row r="3" spans="2:5" x14ac:dyDescent="0.25">
      <c r="B3" s="28" t="s">
        <v>27</v>
      </c>
      <c r="C3" t="s">
        <v>28</v>
      </c>
      <c r="D3" t="s">
        <v>30</v>
      </c>
      <c r="E3" t="s">
        <v>29</v>
      </c>
    </row>
    <row r="4" spans="2:5" x14ac:dyDescent="0.25">
      <c r="B4" s="29" t="s">
        <v>8</v>
      </c>
      <c r="C4" s="31">
        <v>41</v>
      </c>
      <c r="D4" s="32">
        <v>1580</v>
      </c>
      <c r="E4" s="32">
        <v>5010</v>
      </c>
    </row>
    <row r="5" spans="2:5" x14ac:dyDescent="0.25">
      <c r="B5" s="30" t="s">
        <v>10</v>
      </c>
      <c r="C5" s="31">
        <v>24</v>
      </c>
      <c r="D5" s="32">
        <v>870</v>
      </c>
      <c r="E5" s="32">
        <v>2640</v>
      </c>
    </row>
    <row r="6" spans="2:5" x14ac:dyDescent="0.25">
      <c r="B6" s="30" t="s">
        <v>11</v>
      </c>
      <c r="C6" s="31">
        <v>17</v>
      </c>
      <c r="D6" s="32">
        <v>710</v>
      </c>
      <c r="E6" s="32">
        <v>2370</v>
      </c>
    </row>
    <row r="7" spans="2:5" x14ac:dyDescent="0.25">
      <c r="B7" s="29" t="s">
        <v>12</v>
      </c>
      <c r="C7" s="31">
        <v>48</v>
      </c>
      <c r="D7" s="32">
        <v>7635</v>
      </c>
      <c r="E7" s="32">
        <v>23635</v>
      </c>
    </row>
    <row r="8" spans="2:5" x14ac:dyDescent="0.25">
      <c r="B8" s="30" t="s">
        <v>17</v>
      </c>
      <c r="C8" s="31">
        <v>41</v>
      </c>
      <c r="D8" s="32">
        <v>3685</v>
      </c>
      <c r="E8" s="32">
        <v>13735</v>
      </c>
    </row>
    <row r="9" spans="2:5" x14ac:dyDescent="0.25">
      <c r="B9" s="30" t="s">
        <v>16</v>
      </c>
      <c r="C9" s="31">
        <v>2</v>
      </c>
      <c r="D9" s="32">
        <v>450</v>
      </c>
      <c r="E9" s="32">
        <v>900</v>
      </c>
    </row>
    <row r="10" spans="2:5" x14ac:dyDescent="0.25">
      <c r="B10" s="30" t="s">
        <v>15</v>
      </c>
      <c r="C10" s="31">
        <v>3</v>
      </c>
      <c r="D10" s="32">
        <v>2000</v>
      </c>
      <c r="E10" s="32">
        <v>6000</v>
      </c>
    </row>
    <row r="11" spans="2:5" x14ac:dyDescent="0.25">
      <c r="B11" s="30" t="s">
        <v>14</v>
      </c>
      <c r="C11" s="31">
        <v>2</v>
      </c>
      <c r="D11" s="32">
        <v>1500</v>
      </c>
      <c r="E11" s="32">
        <v>3000</v>
      </c>
    </row>
    <row r="12" spans="2:5" x14ac:dyDescent="0.25">
      <c r="B12" s="29" t="s">
        <v>18</v>
      </c>
      <c r="C12" s="31">
        <v>16</v>
      </c>
      <c r="D12" s="32">
        <v>560</v>
      </c>
      <c r="E12" s="32">
        <v>2240</v>
      </c>
    </row>
    <row r="13" spans="2:5" x14ac:dyDescent="0.25">
      <c r="B13" s="30" t="s">
        <v>11</v>
      </c>
      <c r="C13" s="31">
        <v>16</v>
      </c>
      <c r="D13" s="32">
        <v>560</v>
      </c>
      <c r="E13" s="32">
        <v>2240</v>
      </c>
    </row>
    <row r="14" spans="2:5" x14ac:dyDescent="0.25">
      <c r="B14" s="29" t="s">
        <v>19</v>
      </c>
      <c r="C14" s="31">
        <v>72</v>
      </c>
      <c r="D14" s="32">
        <v>3689.6</v>
      </c>
      <c r="E14" s="32">
        <v>11878.8</v>
      </c>
    </row>
    <row r="15" spans="2:5" x14ac:dyDescent="0.25">
      <c r="B15" s="30" t="s">
        <v>17</v>
      </c>
      <c r="C15" s="31">
        <v>6</v>
      </c>
      <c r="D15" s="32">
        <v>670</v>
      </c>
      <c r="E15" s="32">
        <v>2010</v>
      </c>
    </row>
    <row r="16" spans="2:5" x14ac:dyDescent="0.25">
      <c r="B16" s="30" t="s">
        <v>16</v>
      </c>
      <c r="C16" s="31">
        <v>9</v>
      </c>
      <c r="D16" s="32">
        <v>1350</v>
      </c>
      <c r="E16" s="32">
        <v>4050</v>
      </c>
    </row>
    <row r="17" spans="2:5" x14ac:dyDescent="0.25">
      <c r="B17" s="30" t="s">
        <v>10</v>
      </c>
      <c r="C17" s="31">
        <v>20</v>
      </c>
      <c r="D17" s="32">
        <v>660</v>
      </c>
      <c r="E17" s="32">
        <v>2190</v>
      </c>
    </row>
    <row r="18" spans="2:5" x14ac:dyDescent="0.25">
      <c r="B18" s="30" t="s">
        <v>11</v>
      </c>
      <c r="C18" s="31">
        <v>25</v>
      </c>
      <c r="D18" s="32">
        <v>970</v>
      </c>
      <c r="E18" s="32">
        <v>3510</v>
      </c>
    </row>
    <row r="19" spans="2:5" x14ac:dyDescent="0.25">
      <c r="B19" s="30" t="s">
        <v>20</v>
      </c>
      <c r="C19" s="31">
        <v>12</v>
      </c>
      <c r="D19" s="32">
        <v>39.6</v>
      </c>
      <c r="E19" s="32">
        <v>118.80000000000001</v>
      </c>
    </row>
    <row r="20" spans="2:5" x14ac:dyDescent="0.25">
      <c r="B20" s="29" t="s">
        <v>21</v>
      </c>
      <c r="C20" s="31">
        <v>45</v>
      </c>
      <c r="D20" s="32">
        <v>3824.9</v>
      </c>
      <c r="E20" s="32">
        <v>12629.5</v>
      </c>
    </row>
    <row r="21" spans="2:5" x14ac:dyDescent="0.25">
      <c r="B21" s="30" t="s">
        <v>17</v>
      </c>
      <c r="C21" s="31">
        <v>36</v>
      </c>
      <c r="D21" s="32">
        <v>3685</v>
      </c>
      <c r="E21" s="32">
        <v>12060</v>
      </c>
    </row>
    <row r="22" spans="2:5" x14ac:dyDescent="0.25">
      <c r="B22" s="30" t="s">
        <v>11</v>
      </c>
      <c r="C22" s="31">
        <v>4</v>
      </c>
      <c r="D22" s="32">
        <v>130</v>
      </c>
      <c r="E22" s="32">
        <v>520</v>
      </c>
    </row>
    <row r="23" spans="2:5" x14ac:dyDescent="0.25">
      <c r="B23" s="30" t="s">
        <v>20</v>
      </c>
      <c r="C23" s="31">
        <v>5</v>
      </c>
      <c r="D23" s="32">
        <v>9.9</v>
      </c>
      <c r="E23" s="32">
        <v>49.5</v>
      </c>
    </row>
    <row r="24" spans="2:5" x14ac:dyDescent="0.25">
      <c r="B24" s="29" t="s">
        <v>22</v>
      </c>
      <c r="C24" s="31">
        <v>44</v>
      </c>
      <c r="D24" s="32">
        <v>3927.6</v>
      </c>
      <c r="E24" s="32">
        <v>11749.3</v>
      </c>
    </row>
    <row r="25" spans="2:5" x14ac:dyDescent="0.25">
      <c r="B25" s="30" t="s">
        <v>17</v>
      </c>
      <c r="C25" s="31">
        <v>9</v>
      </c>
      <c r="D25" s="32">
        <v>1005</v>
      </c>
      <c r="E25" s="32">
        <v>3015</v>
      </c>
    </row>
    <row r="26" spans="2:5" x14ac:dyDescent="0.25">
      <c r="B26" s="30" t="s">
        <v>16</v>
      </c>
      <c r="C26" s="31">
        <v>10</v>
      </c>
      <c r="D26" s="32">
        <v>1350</v>
      </c>
      <c r="E26" s="32">
        <v>4500</v>
      </c>
    </row>
    <row r="27" spans="2:5" x14ac:dyDescent="0.25">
      <c r="B27" s="30" t="s">
        <v>20</v>
      </c>
      <c r="C27" s="31">
        <v>17</v>
      </c>
      <c r="D27" s="32">
        <v>39.6</v>
      </c>
      <c r="E27" s="32">
        <v>168.3</v>
      </c>
    </row>
    <row r="28" spans="2:5" x14ac:dyDescent="0.25">
      <c r="B28" s="30" t="s">
        <v>23</v>
      </c>
      <c r="C28" s="31">
        <v>8</v>
      </c>
      <c r="D28" s="32">
        <v>1533</v>
      </c>
      <c r="E28" s="32">
        <v>4066</v>
      </c>
    </row>
    <row r="29" spans="2:5" x14ac:dyDescent="0.25">
      <c r="B29" s="29" t="s">
        <v>24</v>
      </c>
      <c r="C29" s="31">
        <v>43</v>
      </c>
      <c r="D29" s="32">
        <v>1550</v>
      </c>
      <c r="E29" s="32">
        <v>5110</v>
      </c>
    </row>
    <row r="30" spans="2:5" x14ac:dyDescent="0.25">
      <c r="B30" s="30" t="s">
        <v>10</v>
      </c>
      <c r="C30" s="31">
        <v>31</v>
      </c>
      <c r="D30" s="32">
        <v>990</v>
      </c>
      <c r="E30" s="32">
        <v>3450</v>
      </c>
    </row>
    <row r="31" spans="2:5" x14ac:dyDescent="0.25">
      <c r="B31" s="30" t="s">
        <v>11</v>
      </c>
      <c r="C31" s="31">
        <v>12</v>
      </c>
      <c r="D31" s="32">
        <v>560</v>
      </c>
      <c r="E31" s="32">
        <v>1660</v>
      </c>
    </row>
    <row r="32" spans="2:5" x14ac:dyDescent="0.25">
      <c r="B32" s="29" t="s">
        <v>25</v>
      </c>
      <c r="C32" s="31">
        <v>37</v>
      </c>
      <c r="D32" s="32">
        <v>12324.6</v>
      </c>
      <c r="E32" s="32">
        <v>40239</v>
      </c>
    </row>
    <row r="33" spans="2:5" x14ac:dyDescent="0.25">
      <c r="B33" s="30" t="s">
        <v>17</v>
      </c>
      <c r="C33" s="31">
        <v>4</v>
      </c>
      <c r="D33" s="32">
        <v>335</v>
      </c>
      <c r="E33" s="32">
        <v>1340</v>
      </c>
    </row>
    <row r="34" spans="2:5" x14ac:dyDescent="0.25">
      <c r="B34" s="30" t="s">
        <v>16</v>
      </c>
      <c r="C34" s="31">
        <v>4</v>
      </c>
      <c r="D34" s="32">
        <v>450</v>
      </c>
      <c r="E34" s="32">
        <v>1800</v>
      </c>
    </row>
    <row r="35" spans="2:5" x14ac:dyDescent="0.25">
      <c r="B35" s="30" t="s">
        <v>15</v>
      </c>
      <c r="C35" s="31">
        <v>17</v>
      </c>
      <c r="D35" s="32">
        <v>10000</v>
      </c>
      <c r="E35" s="32">
        <v>34000</v>
      </c>
    </row>
    <row r="36" spans="2:5" x14ac:dyDescent="0.25">
      <c r="B36" s="30" t="s">
        <v>20</v>
      </c>
      <c r="C36" s="31">
        <v>10</v>
      </c>
      <c r="D36" s="32">
        <v>39.6</v>
      </c>
      <c r="E36" s="32">
        <v>99.000000000000014</v>
      </c>
    </row>
    <row r="37" spans="2:5" x14ac:dyDescent="0.25">
      <c r="B37" s="30" t="s">
        <v>14</v>
      </c>
      <c r="C37" s="31">
        <v>2</v>
      </c>
      <c r="D37" s="32">
        <v>1500</v>
      </c>
      <c r="E37" s="32">
        <v>3000</v>
      </c>
    </row>
    <row r="38" spans="2:5" x14ac:dyDescent="0.25">
      <c r="B38" s="29" t="s">
        <v>26</v>
      </c>
      <c r="C38" s="31">
        <v>346</v>
      </c>
      <c r="D38" s="32">
        <v>35091.699999999997</v>
      </c>
      <c r="E38" s="32">
        <v>112491.6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DE DADOS</vt:lpstr>
      <vt:lpstr>Planilha1</vt:lpstr>
    </vt:vector>
  </TitlesOfParts>
  <Company>SESI_SENAI_SP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DIAS VALSECHI</dc:creator>
  <cp:lastModifiedBy>WILCK GOMES DE OLIVEIRA</cp:lastModifiedBy>
  <dcterms:created xsi:type="dcterms:W3CDTF">2018-02-01T16:47:41Z</dcterms:created>
  <dcterms:modified xsi:type="dcterms:W3CDTF">2026-03-24T22:58:17Z</dcterms:modified>
</cp:coreProperties>
</file>