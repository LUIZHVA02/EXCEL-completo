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97380E0B-6796-4767-B1FC-935D3D5D035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H9" i="1"/>
  <c r="E11" i="1"/>
  <c r="B11" i="1"/>
  <c r="H3" i="1" l="1"/>
  <c r="E5" i="1" l="1"/>
  <c r="B5" i="1"/>
</calcChain>
</file>

<file path=xl/sharedStrings.xml><?xml version="1.0" encoding="utf-8"?>
<sst xmlns="http://schemas.openxmlformats.org/spreadsheetml/2006/main" count="28" uniqueCount="9">
  <si>
    <t>Preço Unitário</t>
  </si>
  <si>
    <t>Custo variável unitário</t>
  </si>
  <si>
    <t>Custo Fixo</t>
  </si>
  <si>
    <t>Quantidade</t>
  </si>
  <si>
    <t>Lucro</t>
  </si>
  <si>
    <t>Valor desejado</t>
  </si>
  <si>
    <t>Prazo desejado</t>
  </si>
  <si>
    <t>Prestação desejada</t>
  </si>
  <si>
    <t>Taxa de juros necessária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</si>
</sst>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4" fontId="0" fillId="0" borderId="1" xfId="1" applyFont="1" applyBorder="1"/>
    <xf numFmtId="9" fontId="0" fillId="0" borderId="1" xfId="2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11"/>
  <sheetViews>
    <sheetView tabSelected="1" workbookViewId="0">
      <selection activeCell="J3" sqref="J3"/>
    </sheetView>
  </sheetViews>
  <sheetFormatPr defaultRowHeight="15" x14ac:dyDescent="0.25"/>
  <cols>
    <col min="1" max="1" width="27.42578125" customWidth="1"/>
    <col min="2" max="2" width="9.28515625" bestFit="1" customWidth="1"/>
    <col min="4" max="4" width="27.42578125" customWidth="1"/>
    <col min="7" max="7" width="22.7109375" bestFit="1" customWidth="1"/>
    <col min="8" max="8" width="12.140625" bestFit="1" customWidth="1"/>
  </cols>
  <sheetData>
    <row r="1" spans="1:10" x14ac:dyDescent="0.25">
      <c r="A1" s="1" t="s">
        <v>0</v>
      </c>
      <c r="B1" s="2">
        <v>43.7</v>
      </c>
      <c r="D1" s="1" t="s">
        <v>0</v>
      </c>
      <c r="E1" s="2">
        <v>43.7</v>
      </c>
      <c r="G1" s="1" t="s">
        <v>5</v>
      </c>
      <c r="H1" s="4">
        <v>8000</v>
      </c>
      <c r="J1">
        <v>10.000000000000002</v>
      </c>
    </row>
    <row r="2" spans="1:10" x14ac:dyDescent="0.25">
      <c r="A2" s="1" t="s">
        <v>1</v>
      </c>
      <c r="B2" s="2">
        <v>25.3</v>
      </c>
      <c r="D2" s="1" t="s">
        <v>1</v>
      </c>
      <c r="E2" s="2">
        <v>25.3</v>
      </c>
      <c r="G2" s="1" t="s">
        <v>6</v>
      </c>
      <c r="H2" s="1">
        <v>24</v>
      </c>
      <c r="J2">
        <v>100</v>
      </c>
    </row>
    <row r="3" spans="1:10" x14ac:dyDescent="0.25">
      <c r="A3" s="1" t="s">
        <v>2</v>
      </c>
      <c r="B3" s="2">
        <v>34500</v>
      </c>
      <c r="D3" s="1" t="s">
        <v>2</v>
      </c>
      <c r="E3" s="2">
        <v>34500</v>
      </c>
      <c r="G3" s="1" t="s">
        <v>7</v>
      </c>
      <c r="H3" s="4">
        <f>H1/H2*H4</f>
        <v>400.00000000000006</v>
      </c>
      <c r="J3">
        <f>J1*J2</f>
        <v>1000.0000000000002</v>
      </c>
    </row>
    <row r="4" spans="1:10" x14ac:dyDescent="0.25">
      <c r="A4" s="1" t="s">
        <v>3</v>
      </c>
      <c r="B4" s="3">
        <v>1875</v>
      </c>
      <c r="D4" s="1" t="s">
        <v>3</v>
      </c>
      <c r="E4" s="3">
        <v>4347.8260869565211</v>
      </c>
      <c r="G4" s="1" t="s">
        <v>8</v>
      </c>
      <c r="H4" s="5">
        <v>1.2000000000000002</v>
      </c>
    </row>
    <row r="5" spans="1:10" x14ac:dyDescent="0.25">
      <c r="A5" s="1" t="s">
        <v>4</v>
      </c>
      <c r="B5" s="2">
        <f>(B1-B2)*B4</f>
        <v>34500.000000000007</v>
      </c>
      <c r="D5" s="1" t="s">
        <v>4</v>
      </c>
      <c r="E5" s="2">
        <f>(E1-E2)*E4</f>
        <v>80000</v>
      </c>
    </row>
    <row r="7" spans="1:10" x14ac:dyDescent="0.25">
      <c r="A7" s="1" t="s">
        <v>0</v>
      </c>
      <c r="B7" s="2">
        <v>43.7</v>
      </c>
      <c r="D7" s="1" t="s">
        <v>0</v>
      </c>
      <c r="E7" s="2">
        <v>43.7</v>
      </c>
      <c r="G7" s="1" t="s">
        <v>5</v>
      </c>
      <c r="H7" s="4">
        <v>8000</v>
      </c>
    </row>
    <row r="8" spans="1:10" x14ac:dyDescent="0.25">
      <c r="A8" s="1" t="s">
        <v>1</v>
      </c>
      <c r="B8" s="2">
        <v>25.3</v>
      </c>
      <c r="D8" s="1" t="s">
        <v>1</v>
      </c>
      <c r="E8" s="2">
        <v>25.3</v>
      </c>
      <c r="G8" s="1" t="s">
        <v>6</v>
      </c>
      <c r="H8" s="1">
        <v>24</v>
      </c>
    </row>
    <row r="9" spans="1:10" x14ac:dyDescent="0.25">
      <c r="A9" s="1" t="s">
        <v>2</v>
      </c>
      <c r="B9" s="2">
        <v>34500</v>
      </c>
      <c r="D9" s="1" t="s">
        <v>2</v>
      </c>
      <c r="E9" s="2">
        <v>34500</v>
      </c>
      <c r="G9" s="1" t="s">
        <v>7</v>
      </c>
      <c r="H9" s="4">
        <f>H7/H8*H10</f>
        <v>0</v>
      </c>
    </row>
    <row r="10" spans="1:10" x14ac:dyDescent="0.25">
      <c r="A10" s="1" t="s">
        <v>3</v>
      </c>
      <c r="B10" s="3"/>
      <c r="D10" s="1" t="s">
        <v>3</v>
      </c>
      <c r="E10" s="3">
        <v>4347.8260869565211</v>
      </c>
      <c r="G10" s="1" t="s">
        <v>8</v>
      </c>
      <c r="H10" s="5"/>
    </row>
    <row r="11" spans="1:10" x14ac:dyDescent="0.25">
      <c r="A11" s="1" t="s">
        <v>4</v>
      </c>
      <c r="B11" s="2">
        <f>(B7-B8)*B10</f>
        <v>0</v>
      </c>
      <c r="D11" s="1" t="s">
        <v>4</v>
      </c>
      <c r="E11" s="2">
        <f>(E7-E8)*E10</f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2026-04-01T22:34:07Z</dcterms:modified>
</cp:coreProperties>
</file>