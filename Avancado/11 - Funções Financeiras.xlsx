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33ADA694-8A19-4D16-A4FC-FAE84AB24DFA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1" l="1"/>
  <c r="E6" i="1"/>
  <c r="B18" i="1"/>
  <c r="B11" i="1"/>
  <c r="B6" i="1"/>
</calcChain>
</file>

<file path=xl/sharedStrings.xml><?xml version="1.0" encoding="utf-8"?>
<sst xmlns="http://schemas.openxmlformats.org/spreadsheetml/2006/main" count="25" uniqueCount="10">
  <si>
    <t>Valor Presente</t>
  </si>
  <si>
    <t>Valor Futuro</t>
  </si>
  <si>
    <t>Prazo (meses)</t>
  </si>
  <si>
    <t>Taxa</t>
  </si>
  <si>
    <t>a)</t>
  </si>
  <si>
    <t>b)</t>
  </si>
  <si>
    <t>c)</t>
  </si>
  <si>
    <t>d)</t>
  </si>
  <si>
    <t>e)</t>
  </si>
  <si>
    <t>PGTO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</si>
</sst>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3" borderId="1" xfId="0" applyFont="1" applyFill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8" fontId="0" fillId="0" borderId="1" xfId="1" applyNumberFormat="1" applyFont="1" applyBorder="1" applyAlignment="1">
      <alignment horizontal="center" vertical="center"/>
    </xf>
    <xf numFmtId="8" fontId="0" fillId="0" borderId="1" xfId="2" applyNumberFormat="1" applyFont="1" applyBorder="1" applyAlignment="1">
      <alignment horizontal="center" vertical="center"/>
    </xf>
    <xf numFmtId="165" fontId="0" fillId="0" borderId="1" xfId="2" applyNumberFormat="1" applyFont="1" applyBorder="1" applyAlignment="1">
      <alignment horizontal="center" vertical="center"/>
    </xf>
    <xf numFmtId="10" fontId="0" fillId="0" borderId="1" xfId="2" applyNumberFormat="1" applyFont="1" applyBorder="1" applyAlignment="1">
      <alignment horizontal="center" vertical="center"/>
    </xf>
    <xf numFmtId="8" fontId="0" fillId="0" borderId="1" xfId="0" applyNumberFormat="1" applyBorder="1" applyAlignment="1">
      <alignment horizontal="center" vertical="center"/>
    </xf>
    <xf numFmtId="8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8"/>
  <sheetViews>
    <sheetView tabSelected="1" workbookViewId="0">
      <selection activeCell="H14" sqref="H14"/>
    </sheetView>
  </sheetViews>
  <sheetFormatPr defaultRowHeight="15" x14ac:dyDescent="0.25"/>
  <cols>
    <col min="1" max="1" width="14.28515625" bestFit="1" customWidth="1"/>
    <col min="2" max="2" width="18.28515625" style="7" customWidth="1"/>
    <col min="4" max="4" width="14.28515625" bestFit="1" customWidth="1"/>
    <col min="5" max="6" width="18.28515625" customWidth="1"/>
  </cols>
  <sheetData>
    <row r="2" spans="1:6" x14ac:dyDescent="0.25">
      <c r="A2" s="2" t="s">
        <v>4</v>
      </c>
      <c r="D2" s="4" t="s">
        <v>7</v>
      </c>
    </row>
    <row r="3" spans="1:6" x14ac:dyDescent="0.25">
      <c r="A3" s="1" t="s">
        <v>0</v>
      </c>
      <c r="B3" s="6">
        <v>61850</v>
      </c>
      <c r="D3" s="1" t="s">
        <v>0</v>
      </c>
      <c r="E3" s="6">
        <v>10000</v>
      </c>
    </row>
    <row r="4" spans="1:6" x14ac:dyDescent="0.25">
      <c r="A4" s="1" t="s">
        <v>1</v>
      </c>
      <c r="B4" s="6">
        <v>77520</v>
      </c>
      <c r="D4" s="1" t="s">
        <v>3</v>
      </c>
      <c r="E4" s="12">
        <v>1.4999999999999999E-2</v>
      </c>
    </row>
    <row r="5" spans="1:6" x14ac:dyDescent="0.25">
      <c r="A5" s="1" t="s">
        <v>2</v>
      </c>
      <c r="B5" s="5">
        <v>10</v>
      </c>
      <c r="D5" s="1" t="s">
        <v>2</v>
      </c>
      <c r="E5" s="5">
        <v>8</v>
      </c>
    </row>
    <row r="6" spans="1:6" x14ac:dyDescent="0.25">
      <c r="A6" s="1" t="s">
        <v>3</v>
      </c>
      <c r="B6" s="13">
        <f>RATE(B5, ,-B3,B4)</f>
        <v>2.2839299226108837E-2</v>
      </c>
      <c r="D6" s="1" t="s">
        <v>1</v>
      </c>
      <c r="E6" s="14">
        <f>FV(E4,E5, ,-E3)</f>
        <v>11264.925865953057</v>
      </c>
    </row>
    <row r="7" spans="1:6" x14ac:dyDescent="0.25">
      <c r="E7" s="7"/>
    </row>
    <row r="8" spans="1:6" x14ac:dyDescent="0.25">
      <c r="A8" s="3" t="s">
        <v>5</v>
      </c>
      <c r="D8" s="4" t="s">
        <v>8</v>
      </c>
      <c r="E8" s="7"/>
    </row>
    <row r="9" spans="1:6" x14ac:dyDescent="0.25">
      <c r="A9" s="1" t="s">
        <v>0</v>
      </c>
      <c r="B9" s="9">
        <v>38000</v>
      </c>
      <c r="D9" s="1" t="s">
        <v>0</v>
      </c>
      <c r="E9" s="10">
        <f>PV(E10,E11,,-E12)</f>
        <v>4682.3413449222344</v>
      </c>
    </row>
    <row r="10" spans="1:6" x14ac:dyDescent="0.25">
      <c r="A10" s="1" t="s">
        <v>1</v>
      </c>
      <c r="B10" s="9">
        <v>76000</v>
      </c>
      <c r="D10" s="1" t="s">
        <v>3</v>
      </c>
      <c r="E10" s="12">
        <v>1.0999999999999999E-2</v>
      </c>
    </row>
    <row r="11" spans="1:6" x14ac:dyDescent="0.25">
      <c r="A11" s="1" t="s">
        <v>2</v>
      </c>
      <c r="B11" s="5">
        <f>TRUNC(NPER(B12, , -B9,B10),0)</f>
        <v>14</v>
      </c>
      <c r="D11" s="1" t="s">
        <v>2</v>
      </c>
      <c r="E11" s="5">
        <v>6</v>
      </c>
    </row>
    <row r="12" spans="1:6" x14ac:dyDescent="0.25">
      <c r="A12" s="1" t="s">
        <v>3</v>
      </c>
      <c r="B12" s="12">
        <v>0.05</v>
      </c>
      <c r="D12" s="1" t="s">
        <v>1</v>
      </c>
      <c r="E12" s="6">
        <v>5000</v>
      </c>
      <c r="F12" s="15"/>
    </row>
    <row r="14" spans="1:6" x14ac:dyDescent="0.25">
      <c r="A14" s="4" t="s">
        <v>6</v>
      </c>
    </row>
    <row r="15" spans="1:6" x14ac:dyDescent="0.25">
      <c r="A15" s="1" t="s">
        <v>0</v>
      </c>
      <c r="B15" s="6">
        <v>1800</v>
      </c>
    </row>
    <row r="16" spans="1:6" x14ac:dyDescent="0.25">
      <c r="A16" s="1" t="s">
        <v>3</v>
      </c>
      <c r="B16" s="8">
        <v>0.04</v>
      </c>
    </row>
    <row r="17" spans="1:2" x14ac:dyDescent="0.25">
      <c r="A17" s="1" t="s">
        <v>2</v>
      </c>
      <c r="B17" s="5">
        <v>6</v>
      </c>
    </row>
    <row r="18" spans="1:2" x14ac:dyDescent="0.25">
      <c r="A18" s="1" t="s">
        <v>9</v>
      </c>
      <c r="B18" s="11">
        <f>PMT(B16,B17,-B15)</f>
        <v>343.37142451431725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2026-03-13T00:14:52Z</dcterms:modified>
</cp:coreProperties>
</file>