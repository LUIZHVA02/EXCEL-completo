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"/>
    </mc:Choice>
  </mc:AlternateContent>
  <xr:revisionPtr revIDLastSave="0" documentId="13_ncr:1_{22F6441D-BB68-43E3-8D3A-B668F5785211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Base de Dados" sheetId="1" r:id="rId1"/>
    <sheet name="Subtotal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2" l="1"/>
  <c r="E38" i="2"/>
  <c r="E14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  <c r="F15" i="2"/>
  <c r="F24" i="2"/>
  <c r="F25" i="2"/>
  <c r="F26" i="2"/>
  <c r="F27" i="2"/>
  <c r="F28" i="2"/>
  <c r="F2" i="2"/>
  <c r="F16" i="2"/>
  <c r="F3" i="2"/>
  <c r="F4" i="2"/>
  <c r="F5" i="2"/>
  <c r="F6" i="2"/>
  <c r="F17" i="2"/>
  <c r="F7" i="2"/>
  <c r="F29" i="2"/>
  <c r="F30" i="2"/>
  <c r="F18" i="2"/>
  <c r="F31" i="2"/>
  <c r="F32" i="2"/>
  <c r="F8" i="2"/>
  <c r="F19" i="2"/>
  <c r="F9" i="2"/>
  <c r="F10" i="2"/>
  <c r="F11" i="2"/>
  <c r="F20" i="2"/>
  <c r="F33" i="2"/>
  <c r="F34" i="2"/>
  <c r="F35" i="2"/>
  <c r="F36" i="2"/>
  <c r="F21" i="2"/>
  <c r="F12" i="2"/>
  <c r="F13" i="2"/>
  <c r="F22" i="2"/>
  <c r="F37" i="2"/>
  <c r="G37" i="2"/>
  <c r="G22" i="2"/>
  <c r="G13" i="2"/>
  <c r="G12" i="2"/>
  <c r="G21" i="2"/>
  <c r="G36" i="2"/>
  <c r="G35" i="2"/>
  <c r="G34" i="2"/>
  <c r="G33" i="2"/>
  <c r="G20" i="2"/>
  <c r="G11" i="2"/>
  <c r="G10" i="2"/>
  <c r="G9" i="2"/>
  <c r="G19" i="2"/>
  <c r="G8" i="2"/>
  <c r="G32" i="2"/>
  <c r="G31" i="2"/>
  <c r="G18" i="2"/>
  <c r="G30" i="2"/>
  <c r="G29" i="2"/>
  <c r="G7" i="2"/>
  <c r="G17" i="2"/>
  <c r="G6" i="2"/>
  <c r="G5" i="2"/>
  <c r="G4" i="2"/>
  <c r="G3" i="2"/>
  <c r="G16" i="2"/>
  <c r="G2" i="2"/>
  <c r="G28" i="2"/>
  <c r="G27" i="2"/>
  <c r="G26" i="2"/>
  <c r="G25" i="2"/>
  <c r="G24" i="2"/>
  <c r="G15" i="2"/>
  <c r="G2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<sst xmlns="http://schemas.openxmlformats.org/spreadsheetml/2006/main" count="226" uniqueCount="55">
  <si>
    <t>NOME</t>
  </si>
  <si>
    <t>EMISSÃO</t>
  </si>
  <si>
    <t>VENCIMENTO</t>
  </si>
  <si>
    <t>PAGAMENTO</t>
  </si>
  <si>
    <t>VALOR</t>
  </si>
  <si>
    <t>SITUAÇÃO</t>
  </si>
  <si>
    <t>DIAS ATRASO</t>
  </si>
  <si>
    <t>CIDADE</t>
  </si>
  <si>
    <t>REGIÃO</t>
  </si>
  <si>
    <t>SUDESTE</t>
  </si>
  <si>
    <t>CENTRO-OESTE</t>
  </si>
  <si>
    <t>NORTE</t>
  </si>
  <si>
    <t>SÃO PAULO</t>
  </si>
  <si>
    <t>BRASÍLIA</t>
  </si>
  <si>
    <t>PORTO VELHO</t>
  </si>
  <si>
    <t>MANAUS</t>
  </si>
  <si>
    <t>BARRA BONITA</t>
  </si>
  <si>
    <t>DAVI</t>
  </si>
  <si>
    <t>EDUARDO</t>
  </si>
  <si>
    <t>GEORGE</t>
  </si>
  <si>
    <t>PEDRO</t>
  </si>
  <si>
    <t>HEITOR</t>
  </si>
  <si>
    <t>TERESA</t>
  </si>
  <si>
    <t>AUGUSTO</t>
  </si>
  <si>
    <t>ISABELA</t>
  </si>
  <si>
    <t>BENARDO</t>
  </si>
  <si>
    <t>CAETANO</t>
  </si>
  <si>
    <t>NUNO</t>
  </si>
  <si>
    <t>TOMÁS</t>
  </si>
  <si>
    <t>ANTÔNIA</t>
  </si>
  <si>
    <t>CATARINA</t>
  </si>
  <si>
    <t>GISELA</t>
  </si>
  <si>
    <t>ARTUR</t>
  </si>
  <si>
    <t>JOAQUIM</t>
  </si>
  <si>
    <t>RAMON</t>
  </si>
  <si>
    <t>RAUL</t>
  </si>
  <si>
    <t>CONRADO</t>
  </si>
  <si>
    <t>VITÓRIO</t>
  </si>
  <si>
    <t>MIGUEL</t>
  </si>
  <si>
    <t>ÚRSULA</t>
  </si>
  <si>
    <t>LÁZARO</t>
  </si>
  <si>
    <t>OLÍVIA</t>
  </si>
  <si>
    <t>FRANCISCO</t>
  </si>
  <si>
    <t>LIS</t>
  </si>
  <si>
    <t>MARTINO</t>
  </si>
  <si>
    <t>DORA</t>
  </si>
  <si>
    <t>PATRÍCIO</t>
  </si>
  <si>
    <t>BERENICE</t>
  </si>
  <si>
    <t>CÍCERO</t>
  </si>
  <si>
    <t>HENRIQUE</t>
  </si>
  <si>
    <t>LARA</t>
  </si>
  <si>
    <t>ATRASO Total</t>
  </si>
  <si>
    <t>NÃO CONSTA Total</t>
  </si>
  <si>
    <t>PAGO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</si>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</sst>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/>
    <xf numFmtId="0" fontId="0" fillId="0" borderId="3" xfId="0" applyBorder="1"/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4" fontId="2" fillId="2" borderId="2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workbookViewId="0">
      <selection activeCell="K5" sqref="K5"/>
    </sheetView>
  </sheetViews>
  <sheetFormatPr defaultRowHeight="15" x14ac:dyDescent="0.25"/>
  <cols>
    <col min="1" max="1" width="11.140625" bestFit="1" customWidth="1"/>
    <col min="2" max="2" width="10.7109375" bestFit="1" customWidth="1"/>
    <col min="3" max="3" width="13.28515625" bestFit="1" customWidth="1"/>
    <col min="4" max="4" width="12.85546875" bestFit="1" customWidth="1"/>
    <col min="5" max="5" width="12.140625" style="6" bestFit="1" customWidth="1"/>
    <col min="6" max="6" width="12.85546875" bestFit="1" customWidth="1"/>
    <col min="7" max="7" width="12.7109375" bestFit="1" customWidth="1"/>
    <col min="8" max="8" width="14.42578125" bestFit="1" customWidth="1"/>
    <col min="9" max="9" width="14.42578125" style="3" bestFit="1" customWidth="1"/>
  </cols>
  <sheetData>
    <row r="1" spans="1:9" ht="15.75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t="15.75" thickTop="1" x14ac:dyDescent="0.25">
      <c r="A2" s="7" t="s">
        <v>17</v>
      </c>
      <c r="B2" s="8">
        <v>43191</v>
      </c>
      <c r="C2" s="8">
        <v>43217</v>
      </c>
      <c r="D2" s="9"/>
      <c r="E2" s="10"/>
      <c r="F2" s="9" t="str">
        <f>_xlfn.IFS(D2="","NÃO CONSTA", D2&lt;=C2,"PAGO", D2&gt;C2,"ATRASO")</f>
        <v>NÃO CONSTA</v>
      </c>
      <c r="G2" s="2">
        <f>IF(D2&lt;=C2,0,_xlfn.DAYS(D2,C2))</f>
        <v>0</v>
      </c>
      <c r="H2" s="9" t="s">
        <v>12</v>
      </c>
      <c r="I2" s="9" t="s">
        <v>9</v>
      </c>
    </row>
    <row r="3" spans="1:9" x14ac:dyDescent="0.25">
      <c r="A3" s="1" t="s">
        <v>18</v>
      </c>
      <c r="B3" s="4">
        <v>43191</v>
      </c>
      <c r="C3" s="4">
        <v>43217</v>
      </c>
      <c r="D3" s="4">
        <v>43217</v>
      </c>
      <c r="E3" s="5">
        <v>573.76</v>
      </c>
      <c r="F3" s="9" t="str">
        <f t="shared" ref="F3:F35" si="0">_xlfn.IFS(D3="","NÃO CONSTA", D3&lt;=C3,"PAGO", D3&gt;C3,"ATRASO")</f>
        <v>PAGO</v>
      </c>
      <c r="G3" s="2">
        <f>IF(D3&lt;=C3,0,_xlfn.DAYS(D3,C3))</f>
        <v>0</v>
      </c>
      <c r="H3" s="2" t="s">
        <v>12</v>
      </c>
      <c r="I3" s="2" t="s">
        <v>9</v>
      </c>
    </row>
    <row r="4" spans="1:9" x14ac:dyDescent="0.25">
      <c r="A4" s="1" t="s">
        <v>19</v>
      </c>
      <c r="B4" s="4">
        <v>43193</v>
      </c>
      <c r="C4" s="4">
        <v>43218</v>
      </c>
      <c r="D4" s="4">
        <v>43218</v>
      </c>
      <c r="E4" s="5">
        <v>582.48</v>
      </c>
      <c r="F4" s="9" t="str">
        <f t="shared" si="0"/>
        <v>PAGO</v>
      </c>
      <c r="G4" s="2">
        <f t="shared" ref="G4:G35" si="1">IF(D4&lt;=C4,0,_xlfn.DAYS(D4,C4))</f>
        <v>0</v>
      </c>
      <c r="H4" s="2" t="s">
        <v>13</v>
      </c>
      <c r="I4" s="2" t="s">
        <v>10</v>
      </c>
    </row>
    <row r="5" spans="1:9" x14ac:dyDescent="0.25">
      <c r="A5" s="1" t="s">
        <v>20</v>
      </c>
      <c r="B5" s="4">
        <v>43193</v>
      </c>
      <c r="C5" s="4">
        <v>43218</v>
      </c>
      <c r="D5" s="4">
        <v>43218</v>
      </c>
      <c r="E5" s="5">
        <v>582.48</v>
      </c>
      <c r="F5" s="9" t="str">
        <f t="shared" si="0"/>
        <v>PAGO</v>
      </c>
      <c r="G5" s="2">
        <f t="shared" si="1"/>
        <v>0</v>
      </c>
      <c r="H5" s="2" t="s">
        <v>12</v>
      </c>
      <c r="I5" s="2" t="s">
        <v>9</v>
      </c>
    </row>
    <row r="6" spans="1:9" x14ac:dyDescent="0.25">
      <c r="A6" s="1" t="s">
        <v>21</v>
      </c>
      <c r="B6" s="4">
        <v>43191</v>
      </c>
      <c r="C6" s="4">
        <v>43219</v>
      </c>
      <c r="D6" s="4">
        <v>43219</v>
      </c>
      <c r="E6" s="5">
        <v>582.88</v>
      </c>
      <c r="F6" s="9" t="str">
        <f t="shared" si="0"/>
        <v>PAGO</v>
      </c>
      <c r="G6" s="2">
        <f t="shared" si="1"/>
        <v>0</v>
      </c>
      <c r="H6" s="2" t="s">
        <v>14</v>
      </c>
      <c r="I6" s="2" t="s">
        <v>11</v>
      </c>
    </row>
    <row r="7" spans="1:9" x14ac:dyDescent="0.25">
      <c r="A7" s="1" t="s">
        <v>22</v>
      </c>
      <c r="B7" s="4">
        <v>43191</v>
      </c>
      <c r="C7" s="4">
        <v>43219</v>
      </c>
      <c r="D7" s="4">
        <v>43219</v>
      </c>
      <c r="E7" s="5">
        <v>582.88</v>
      </c>
      <c r="F7" s="9" t="str">
        <f t="shared" si="0"/>
        <v>PAGO</v>
      </c>
      <c r="G7" s="2">
        <f t="shared" si="1"/>
        <v>0</v>
      </c>
      <c r="H7" s="2" t="s">
        <v>12</v>
      </c>
      <c r="I7" s="2" t="s">
        <v>9</v>
      </c>
    </row>
    <row r="8" spans="1:9" x14ac:dyDescent="0.25">
      <c r="A8" s="1" t="s">
        <v>23</v>
      </c>
      <c r="B8" s="4">
        <v>43191</v>
      </c>
      <c r="C8" s="4">
        <v>43221</v>
      </c>
      <c r="D8" s="4">
        <v>43222</v>
      </c>
      <c r="E8" s="5">
        <v>611.82000000000005</v>
      </c>
      <c r="F8" s="9" t="str">
        <f t="shared" si="0"/>
        <v>ATRASO</v>
      </c>
      <c r="G8" s="2">
        <f t="shared" si="1"/>
        <v>1</v>
      </c>
      <c r="H8" s="2" t="s">
        <v>12</v>
      </c>
      <c r="I8" s="2" t="s">
        <v>9</v>
      </c>
    </row>
    <row r="9" spans="1:9" x14ac:dyDescent="0.25">
      <c r="A9" s="1" t="s">
        <v>24</v>
      </c>
      <c r="B9" s="4">
        <v>43191</v>
      </c>
      <c r="C9" s="4">
        <v>43221</v>
      </c>
      <c r="D9" s="2"/>
      <c r="E9" s="5"/>
      <c r="F9" s="9" t="str">
        <f t="shared" si="0"/>
        <v>NÃO CONSTA</v>
      </c>
      <c r="G9" s="2">
        <f t="shared" si="1"/>
        <v>0</v>
      </c>
      <c r="H9" s="2" t="s">
        <v>12</v>
      </c>
      <c r="I9" s="2" t="s">
        <v>9</v>
      </c>
    </row>
    <row r="10" spans="1:9" x14ac:dyDescent="0.25">
      <c r="A10" s="1" t="s">
        <v>25</v>
      </c>
      <c r="B10" s="4">
        <v>43193</v>
      </c>
      <c r="C10" s="4">
        <v>43219</v>
      </c>
      <c r="D10" s="4">
        <v>43220</v>
      </c>
      <c r="E10" s="5">
        <v>633.63</v>
      </c>
      <c r="F10" s="9" t="str">
        <f t="shared" si="0"/>
        <v>ATRASO</v>
      </c>
      <c r="G10" s="2">
        <f t="shared" si="1"/>
        <v>1</v>
      </c>
      <c r="H10" s="2" t="s">
        <v>13</v>
      </c>
      <c r="I10" s="2" t="s">
        <v>10</v>
      </c>
    </row>
    <row r="11" spans="1:9" x14ac:dyDescent="0.25">
      <c r="A11" s="1" t="s">
        <v>26</v>
      </c>
      <c r="B11" s="4">
        <v>43193</v>
      </c>
      <c r="C11" s="4">
        <v>43219</v>
      </c>
      <c r="D11" s="4">
        <v>43220</v>
      </c>
      <c r="E11" s="5">
        <v>633.63</v>
      </c>
      <c r="F11" s="9" t="str">
        <f t="shared" si="0"/>
        <v>ATRASO</v>
      </c>
      <c r="G11" s="2">
        <f t="shared" si="1"/>
        <v>1</v>
      </c>
      <c r="H11" s="2" t="s">
        <v>13</v>
      </c>
      <c r="I11" s="2" t="s">
        <v>10</v>
      </c>
    </row>
    <row r="12" spans="1:9" x14ac:dyDescent="0.25">
      <c r="A12" s="1" t="s">
        <v>27</v>
      </c>
      <c r="B12" s="4">
        <v>43191</v>
      </c>
      <c r="C12" s="4">
        <v>43212</v>
      </c>
      <c r="D12" s="4">
        <v>43213</v>
      </c>
      <c r="E12" s="5">
        <v>700</v>
      </c>
      <c r="F12" s="9" t="str">
        <f t="shared" si="0"/>
        <v>ATRASO</v>
      </c>
      <c r="G12" s="2">
        <f t="shared" si="1"/>
        <v>1</v>
      </c>
      <c r="H12" s="2" t="s">
        <v>12</v>
      </c>
      <c r="I12" s="2" t="s">
        <v>9</v>
      </c>
    </row>
    <row r="13" spans="1:9" x14ac:dyDescent="0.25">
      <c r="A13" s="1" t="s">
        <v>28</v>
      </c>
      <c r="B13" s="4">
        <v>43191</v>
      </c>
      <c r="C13" s="4">
        <v>43213</v>
      </c>
      <c r="D13" s="4">
        <v>43214</v>
      </c>
      <c r="E13" s="5">
        <v>733.37</v>
      </c>
      <c r="F13" s="9" t="str">
        <f t="shared" si="0"/>
        <v>ATRASO</v>
      </c>
      <c r="G13" s="2">
        <f t="shared" si="1"/>
        <v>1</v>
      </c>
      <c r="H13" s="2" t="s">
        <v>12</v>
      </c>
      <c r="I13" s="2" t="s">
        <v>9</v>
      </c>
    </row>
    <row r="14" spans="1:9" x14ac:dyDescent="0.25">
      <c r="A14" s="1" t="s">
        <v>29</v>
      </c>
      <c r="B14" s="4">
        <v>43193</v>
      </c>
      <c r="C14" s="4">
        <v>43221</v>
      </c>
      <c r="D14" s="2"/>
      <c r="E14" s="5"/>
      <c r="F14" s="9" t="str">
        <f t="shared" si="0"/>
        <v>NÃO CONSTA</v>
      </c>
      <c r="G14" s="2">
        <f t="shared" si="1"/>
        <v>0</v>
      </c>
      <c r="H14" s="2" t="s">
        <v>15</v>
      </c>
      <c r="I14" s="2" t="s">
        <v>11</v>
      </c>
    </row>
    <row r="15" spans="1:9" x14ac:dyDescent="0.25">
      <c r="A15" s="1" t="s">
        <v>30</v>
      </c>
      <c r="B15" s="4">
        <v>43193</v>
      </c>
      <c r="C15" s="4">
        <v>43221</v>
      </c>
      <c r="D15" s="4">
        <v>43222</v>
      </c>
      <c r="E15" s="5">
        <v>733.37</v>
      </c>
      <c r="F15" s="9" t="str">
        <f t="shared" si="0"/>
        <v>ATRASO</v>
      </c>
      <c r="G15" s="2">
        <f t="shared" si="1"/>
        <v>1</v>
      </c>
      <c r="H15" s="2" t="s">
        <v>15</v>
      </c>
      <c r="I15" s="2" t="s">
        <v>11</v>
      </c>
    </row>
    <row r="16" spans="1:9" x14ac:dyDescent="0.25">
      <c r="A16" s="1" t="s">
        <v>31</v>
      </c>
      <c r="B16" s="4">
        <v>43193</v>
      </c>
      <c r="C16" s="4">
        <v>43223</v>
      </c>
      <c r="D16" s="4">
        <v>43221</v>
      </c>
      <c r="E16" s="5">
        <v>765.44</v>
      </c>
      <c r="F16" s="9" t="str">
        <f t="shared" si="0"/>
        <v>PAGO</v>
      </c>
      <c r="G16" s="2">
        <f t="shared" si="1"/>
        <v>0</v>
      </c>
      <c r="H16" s="2" t="s">
        <v>13</v>
      </c>
      <c r="I16" s="2" t="s">
        <v>10</v>
      </c>
    </row>
    <row r="17" spans="1:9" x14ac:dyDescent="0.25">
      <c r="A17" s="1" t="s">
        <v>32</v>
      </c>
      <c r="B17" s="4">
        <v>43193</v>
      </c>
      <c r="C17" s="4">
        <v>43223</v>
      </c>
      <c r="D17" s="4">
        <v>43221</v>
      </c>
      <c r="E17" s="5">
        <v>765.44</v>
      </c>
      <c r="F17" s="9" t="str">
        <f t="shared" si="0"/>
        <v>PAGO</v>
      </c>
      <c r="G17" s="2">
        <f t="shared" si="1"/>
        <v>0</v>
      </c>
      <c r="H17" s="2" t="s">
        <v>12</v>
      </c>
      <c r="I17" s="2" t="s">
        <v>9</v>
      </c>
    </row>
    <row r="18" spans="1:9" x14ac:dyDescent="0.25">
      <c r="A18" s="1" t="s">
        <v>33</v>
      </c>
      <c r="B18" s="4">
        <v>43191</v>
      </c>
      <c r="C18" s="4">
        <v>43214</v>
      </c>
      <c r="D18" s="2"/>
      <c r="E18" s="5"/>
      <c r="F18" s="9" t="str">
        <f t="shared" si="0"/>
        <v>NÃO CONSTA</v>
      </c>
      <c r="G18" s="2">
        <f t="shared" si="1"/>
        <v>0</v>
      </c>
      <c r="H18" s="2" t="s">
        <v>12</v>
      </c>
      <c r="I18" s="2" t="s">
        <v>9</v>
      </c>
    </row>
    <row r="19" spans="1:9" x14ac:dyDescent="0.25">
      <c r="A19" s="1" t="s">
        <v>34</v>
      </c>
      <c r="B19" s="4">
        <v>43191</v>
      </c>
      <c r="C19" s="4">
        <v>43216</v>
      </c>
      <c r="D19" s="4">
        <v>43214</v>
      </c>
      <c r="E19" s="5">
        <v>800</v>
      </c>
      <c r="F19" s="9" t="str">
        <f t="shared" si="0"/>
        <v>PAGO</v>
      </c>
      <c r="G19" s="2">
        <f t="shared" si="1"/>
        <v>0</v>
      </c>
      <c r="H19" s="2" t="s">
        <v>14</v>
      </c>
      <c r="I19" s="2" t="s">
        <v>11</v>
      </c>
    </row>
    <row r="20" spans="1:9" x14ac:dyDescent="0.25">
      <c r="A20" s="1" t="s">
        <v>35</v>
      </c>
      <c r="B20" s="4">
        <v>43191</v>
      </c>
      <c r="C20" s="4">
        <v>43216</v>
      </c>
      <c r="D20" s="4">
        <v>43214</v>
      </c>
      <c r="E20" s="5">
        <v>800</v>
      </c>
      <c r="F20" s="9" t="str">
        <f t="shared" si="0"/>
        <v>PAGO</v>
      </c>
      <c r="G20" s="2">
        <f t="shared" si="1"/>
        <v>0</v>
      </c>
      <c r="H20" s="2" t="s">
        <v>14</v>
      </c>
      <c r="I20" s="2" t="s">
        <v>11</v>
      </c>
    </row>
    <row r="21" spans="1:9" x14ac:dyDescent="0.25">
      <c r="A21" s="1" t="s">
        <v>36</v>
      </c>
      <c r="B21" s="4">
        <v>43194</v>
      </c>
      <c r="C21" s="4">
        <v>43217</v>
      </c>
      <c r="D21" s="4">
        <v>43227</v>
      </c>
      <c r="E21" s="5">
        <v>815.3</v>
      </c>
      <c r="F21" s="9" t="str">
        <f t="shared" si="0"/>
        <v>ATRASO</v>
      </c>
      <c r="G21" s="2">
        <f t="shared" si="1"/>
        <v>10</v>
      </c>
      <c r="H21" s="2" t="s">
        <v>16</v>
      </c>
      <c r="I21" s="2" t="s">
        <v>9</v>
      </c>
    </row>
    <row r="22" spans="1:9" x14ac:dyDescent="0.25">
      <c r="A22" s="1" t="s">
        <v>37</v>
      </c>
      <c r="B22" s="4">
        <v>43194</v>
      </c>
      <c r="C22" s="4">
        <v>43217</v>
      </c>
      <c r="D22" s="2"/>
      <c r="E22" s="5"/>
      <c r="F22" s="9" t="str">
        <f t="shared" si="0"/>
        <v>NÃO CONSTA</v>
      </c>
      <c r="G22" s="2">
        <f t="shared" si="1"/>
        <v>0</v>
      </c>
      <c r="H22" s="2" t="s">
        <v>16</v>
      </c>
      <c r="I22" s="2" t="s">
        <v>9</v>
      </c>
    </row>
    <row r="23" spans="1:9" x14ac:dyDescent="0.25">
      <c r="A23" s="1" t="s">
        <v>38</v>
      </c>
      <c r="B23" s="4">
        <v>43191</v>
      </c>
      <c r="C23" s="4">
        <v>43217</v>
      </c>
      <c r="D23" s="4">
        <v>43227</v>
      </c>
      <c r="E23" s="5">
        <v>841.37</v>
      </c>
      <c r="F23" s="9" t="str">
        <f t="shared" si="0"/>
        <v>ATRASO</v>
      </c>
      <c r="G23" s="2">
        <f t="shared" si="1"/>
        <v>10</v>
      </c>
      <c r="H23" s="2" t="s">
        <v>14</v>
      </c>
      <c r="I23" s="2" t="s">
        <v>11</v>
      </c>
    </row>
    <row r="24" spans="1:9" x14ac:dyDescent="0.25">
      <c r="A24" s="1" t="s">
        <v>39</v>
      </c>
      <c r="B24" s="4">
        <v>43191</v>
      </c>
      <c r="C24" s="4">
        <v>43217</v>
      </c>
      <c r="D24" s="4">
        <v>43227</v>
      </c>
      <c r="E24" s="5">
        <v>841.37</v>
      </c>
      <c r="F24" s="9" t="str">
        <f t="shared" si="0"/>
        <v>ATRASO</v>
      </c>
      <c r="G24" s="2">
        <f t="shared" si="1"/>
        <v>10</v>
      </c>
      <c r="H24" s="2" t="s">
        <v>12</v>
      </c>
      <c r="I24" s="2" t="s">
        <v>9</v>
      </c>
    </row>
    <row r="25" spans="1:9" x14ac:dyDescent="0.25">
      <c r="A25" s="1" t="s">
        <v>40</v>
      </c>
      <c r="B25" s="4">
        <v>43193</v>
      </c>
      <c r="C25" s="4">
        <v>43214</v>
      </c>
      <c r="D25" s="4">
        <v>43224</v>
      </c>
      <c r="E25" s="5">
        <v>850</v>
      </c>
      <c r="F25" s="9" t="str">
        <f t="shared" si="0"/>
        <v>ATRASO</v>
      </c>
      <c r="G25" s="2">
        <f t="shared" si="1"/>
        <v>10</v>
      </c>
      <c r="H25" s="2" t="s">
        <v>13</v>
      </c>
      <c r="I25" s="2" t="s">
        <v>10</v>
      </c>
    </row>
    <row r="26" spans="1:9" x14ac:dyDescent="0.25">
      <c r="A26" s="1" t="s">
        <v>41</v>
      </c>
      <c r="B26" s="4">
        <v>43193</v>
      </c>
      <c r="C26" s="4">
        <v>43214</v>
      </c>
      <c r="D26" s="2"/>
      <c r="E26" s="5"/>
      <c r="F26" s="9" t="str">
        <f t="shared" si="0"/>
        <v>NÃO CONSTA</v>
      </c>
      <c r="G26" s="2">
        <f t="shared" si="1"/>
        <v>0</v>
      </c>
      <c r="H26" s="2" t="s">
        <v>13</v>
      </c>
      <c r="I26" s="2" t="s">
        <v>10</v>
      </c>
    </row>
    <row r="27" spans="1:9" x14ac:dyDescent="0.25">
      <c r="A27" s="1" t="s">
        <v>42</v>
      </c>
      <c r="B27" s="4">
        <v>43193</v>
      </c>
      <c r="C27" s="4">
        <v>43215</v>
      </c>
      <c r="D27" s="4">
        <v>43212</v>
      </c>
      <c r="E27" s="5">
        <v>931.39</v>
      </c>
      <c r="F27" s="9" t="str">
        <f t="shared" si="0"/>
        <v>PAGO</v>
      </c>
      <c r="G27" s="2">
        <f t="shared" si="1"/>
        <v>0</v>
      </c>
      <c r="H27" s="2" t="s">
        <v>13</v>
      </c>
      <c r="I27" s="2" t="s">
        <v>10</v>
      </c>
    </row>
    <row r="28" spans="1:9" x14ac:dyDescent="0.25">
      <c r="A28" s="1" t="s">
        <v>43</v>
      </c>
      <c r="B28" s="4">
        <v>43193</v>
      </c>
      <c r="C28" s="4">
        <v>43215</v>
      </c>
      <c r="D28" s="4">
        <v>43212</v>
      </c>
      <c r="E28" s="5">
        <v>931.39</v>
      </c>
      <c r="F28" s="9" t="str">
        <f t="shared" si="0"/>
        <v>PAGO</v>
      </c>
      <c r="G28" s="2">
        <f t="shared" si="1"/>
        <v>0</v>
      </c>
      <c r="H28" s="2" t="s">
        <v>13</v>
      </c>
      <c r="I28" s="2" t="s">
        <v>10</v>
      </c>
    </row>
    <row r="29" spans="1:9" x14ac:dyDescent="0.25">
      <c r="A29" s="1" t="s">
        <v>44</v>
      </c>
      <c r="B29" s="4">
        <v>43193</v>
      </c>
      <c r="C29" s="4">
        <v>43216</v>
      </c>
      <c r="D29" s="4">
        <v>43213</v>
      </c>
      <c r="E29" s="5">
        <v>966</v>
      </c>
      <c r="F29" s="9" t="str">
        <f t="shared" si="0"/>
        <v>PAGO</v>
      </c>
      <c r="G29" s="2">
        <f t="shared" si="1"/>
        <v>0</v>
      </c>
      <c r="H29" s="2" t="s">
        <v>13</v>
      </c>
      <c r="I29" s="2" t="s">
        <v>10</v>
      </c>
    </row>
    <row r="30" spans="1:9" x14ac:dyDescent="0.25">
      <c r="A30" s="1" t="s">
        <v>45</v>
      </c>
      <c r="B30" s="4">
        <v>43193</v>
      </c>
      <c r="C30" s="4">
        <v>43218</v>
      </c>
      <c r="D30" s="4">
        <v>43215</v>
      </c>
      <c r="E30" s="5">
        <v>985.5</v>
      </c>
      <c r="F30" s="9" t="str">
        <f t="shared" si="0"/>
        <v>PAGO</v>
      </c>
      <c r="G30" s="2">
        <f t="shared" si="1"/>
        <v>0</v>
      </c>
      <c r="H30" s="2" t="s">
        <v>13</v>
      </c>
      <c r="I30" s="2" t="s">
        <v>10</v>
      </c>
    </row>
    <row r="31" spans="1:9" x14ac:dyDescent="0.25">
      <c r="A31" s="1" t="s">
        <v>46</v>
      </c>
      <c r="B31" s="4">
        <v>43193</v>
      </c>
      <c r="C31" s="4">
        <v>43218</v>
      </c>
      <c r="D31" s="4"/>
      <c r="E31" s="5"/>
      <c r="F31" s="9" t="str">
        <f t="shared" si="0"/>
        <v>NÃO CONSTA</v>
      </c>
      <c r="G31" s="2">
        <f t="shared" si="1"/>
        <v>0</v>
      </c>
      <c r="H31" s="2" t="s">
        <v>12</v>
      </c>
      <c r="I31" s="2" t="s">
        <v>9</v>
      </c>
    </row>
    <row r="32" spans="1:9" x14ac:dyDescent="0.25">
      <c r="A32" s="1" t="s">
        <v>47</v>
      </c>
      <c r="B32" s="4">
        <v>43193</v>
      </c>
      <c r="C32" s="4">
        <v>43219</v>
      </c>
      <c r="D32" s="4">
        <v>43224</v>
      </c>
      <c r="E32" s="5">
        <v>1047.76</v>
      </c>
      <c r="F32" s="9" t="str">
        <f t="shared" si="0"/>
        <v>ATRASO</v>
      </c>
      <c r="G32" s="2">
        <f t="shared" si="1"/>
        <v>5</v>
      </c>
      <c r="H32" s="2" t="s">
        <v>13</v>
      </c>
      <c r="I32" s="2" t="s">
        <v>10</v>
      </c>
    </row>
    <row r="33" spans="1:9" x14ac:dyDescent="0.25">
      <c r="A33" s="1" t="s">
        <v>48</v>
      </c>
      <c r="B33" s="4">
        <v>43193</v>
      </c>
      <c r="C33" s="4">
        <v>43219</v>
      </c>
      <c r="D33" s="4">
        <v>43224</v>
      </c>
      <c r="E33" s="5">
        <v>1047.76</v>
      </c>
      <c r="F33" s="9" t="str">
        <f t="shared" si="0"/>
        <v>ATRASO</v>
      </c>
      <c r="G33" s="2">
        <f t="shared" si="1"/>
        <v>5</v>
      </c>
      <c r="H33" s="2" t="s">
        <v>13</v>
      </c>
      <c r="I33" s="2" t="s">
        <v>10</v>
      </c>
    </row>
    <row r="34" spans="1:9" x14ac:dyDescent="0.25">
      <c r="A34" s="1" t="s">
        <v>49</v>
      </c>
      <c r="B34" s="4">
        <v>43191</v>
      </c>
      <c r="C34" s="4">
        <v>43219</v>
      </c>
      <c r="D34" s="2"/>
      <c r="E34" s="5"/>
      <c r="F34" s="9" t="str">
        <f t="shared" si="0"/>
        <v>NÃO CONSTA</v>
      </c>
      <c r="G34" s="2">
        <f t="shared" si="1"/>
        <v>0</v>
      </c>
      <c r="H34" s="2" t="s">
        <v>14</v>
      </c>
      <c r="I34" s="2" t="s">
        <v>11</v>
      </c>
    </row>
    <row r="35" spans="1:9" x14ac:dyDescent="0.25">
      <c r="A35" s="1" t="s">
        <v>50</v>
      </c>
      <c r="B35" s="4">
        <v>43191</v>
      </c>
      <c r="C35" s="4">
        <v>43219</v>
      </c>
      <c r="D35" s="4">
        <v>43219</v>
      </c>
      <c r="E35" s="5">
        <v>1132</v>
      </c>
      <c r="F35" s="9" t="str">
        <f t="shared" si="0"/>
        <v>PAGO</v>
      </c>
      <c r="G35" s="2">
        <f t="shared" si="1"/>
        <v>0</v>
      </c>
      <c r="H35" s="2" t="s">
        <v>12</v>
      </c>
      <c r="I35" s="2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D695-52D1-48A5-99CD-9023713EAF57}">
  <dimension ref="A1:I39"/>
  <sheetViews>
    <sheetView tabSelected="1" topLeftCell="A3" workbookViewId="0">
      <selection activeCell="E40" sqref="E40"/>
    </sheetView>
  </sheetViews>
  <sheetFormatPr defaultRowHeight="15" x14ac:dyDescent="0.25"/>
  <cols>
    <col min="1" max="1" width="11.140625" bestFit="1" customWidth="1"/>
    <col min="2" max="2" width="10.7109375" bestFit="1" customWidth="1"/>
    <col min="3" max="3" width="13.28515625" bestFit="1" customWidth="1"/>
    <col min="4" max="4" width="12.85546875" bestFit="1" customWidth="1"/>
    <col min="5" max="5" width="13.28515625" bestFit="1" customWidth="1"/>
    <col min="6" max="6" width="18" bestFit="1" customWidth="1"/>
    <col min="7" max="7" width="12.7109375" bestFit="1" customWidth="1"/>
    <col min="8" max="9" width="14.42578125" bestFit="1" customWidth="1"/>
  </cols>
  <sheetData>
    <row r="1" spans="1:9" ht="15.75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t="15.75" thickTop="1" x14ac:dyDescent="0.25">
      <c r="A2" s="7" t="s">
        <v>23</v>
      </c>
      <c r="B2" s="8">
        <v>43191</v>
      </c>
      <c r="C2" s="8">
        <v>43221</v>
      </c>
      <c r="D2" s="8">
        <v>43222</v>
      </c>
      <c r="E2" s="10">
        <v>611.82000000000005</v>
      </c>
      <c r="F2" s="9" t="str">
        <f>_xlfn.IFS(D2="","NÃO CONSTA", D2&lt;=C2,"PAGO", D2&gt;C2,"ATRASO")</f>
        <v>ATRASO</v>
      </c>
      <c r="G2" s="9">
        <f>IF(D2&lt;=C2,0,_xlfn.DAYS(D2,C2))</f>
        <v>1</v>
      </c>
      <c r="H2" s="9" t="s">
        <v>12</v>
      </c>
      <c r="I2" s="9" t="s">
        <v>9</v>
      </c>
    </row>
    <row r="3" spans="1:9" x14ac:dyDescent="0.25">
      <c r="A3" s="1" t="s">
        <v>25</v>
      </c>
      <c r="B3" s="4">
        <v>43193</v>
      </c>
      <c r="C3" s="4">
        <v>43219</v>
      </c>
      <c r="D3" s="4">
        <v>43220</v>
      </c>
      <c r="E3" s="5">
        <v>633.63</v>
      </c>
      <c r="F3" s="2" t="str">
        <f>_xlfn.IFS(D3="","NÃO CONSTA", D3&lt;=C3,"PAGO", D3&gt;C3,"ATRASO")</f>
        <v>ATRASO</v>
      </c>
      <c r="G3" s="2">
        <f>IF(D3&lt;=C3,0,_xlfn.DAYS(D3,C3))</f>
        <v>1</v>
      </c>
      <c r="H3" s="2" t="s">
        <v>13</v>
      </c>
      <c r="I3" s="2" t="s">
        <v>10</v>
      </c>
    </row>
    <row r="4" spans="1:9" x14ac:dyDescent="0.25">
      <c r="A4" s="1" t="s">
        <v>26</v>
      </c>
      <c r="B4" s="4">
        <v>43193</v>
      </c>
      <c r="C4" s="4">
        <v>43219</v>
      </c>
      <c r="D4" s="4">
        <v>43220</v>
      </c>
      <c r="E4" s="5">
        <v>633.63</v>
      </c>
      <c r="F4" s="2" t="str">
        <f>_xlfn.IFS(D4="","NÃO CONSTA", D4&lt;=C4,"PAGO", D4&gt;C4,"ATRASO")</f>
        <v>ATRASO</v>
      </c>
      <c r="G4" s="2">
        <f>IF(D4&lt;=C4,0,_xlfn.DAYS(D4,C4))</f>
        <v>1</v>
      </c>
      <c r="H4" s="2" t="s">
        <v>13</v>
      </c>
      <c r="I4" s="2" t="s">
        <v>10</v>
      </c>
    </row>
    <row r="5" spans="1:9" x14ac:dyDescent="0.25">
      <c r="A5" s="1" t="s">
        <v>27</v>
      </c>
      <c r="B5" s="4">
        <v>43191</v>
      </c>
      <c r="C5" s="4">
        <v>43212</v>
      </c>
      <c r="D5" s="4">
        <v>43213</v>
      </c>
      <c r="E5" s="5">
        <v>700</v>
      </c>
      <c r="F5" s="2" t="str">
        <f>_xlfn.IFS(D5="","NÃO CONSTA", D5&lt;=C5,"PAGO", D5&gt;C5,"ATRASO")</f>
        <v>ATRASO</v>
      </c>
      <c r="G5" s="2">
        <f>IF(D5&lt;=C5,0,_xlfn.DAYS(D5,C5))</f>
        <v>1</v>
      </c>
      <c r="H5" s="2" t="s">
        <v>12</v>
      </c>
      <c r="I5" s="2" t="s">
        <v>9</v>
      </c>
    </row>
    <row r="6" spans="1:9" x14ac:dyDescent="0.25">
      <c r="A6" s="1" t="s">
        <v>28</v>
      </c>
      <c r="B6" s="4">
        <v>43191</v>
      </c>
      <c r="C6" s="4">
        <v>43213</v>
      </c>
      <c r="D6" s="4">
        <v>43214</v>
      </c>
      <c r="E6" s="5">
        <v>733.37</v>
      </c>
      <c r="F6" s="2" t="str">
        <f>_xlfn.IFS(D6="","NÃO CONSTA", D6&lt;=C6,"PAGO", D6&gt;C6,"ATRASO")</f>
        <v>ATRASO</v>
      </c>
      <c r="G6" s="2">
        <f>IF(D6&lt;=C6,0,_xlfn.DAYS(D6,C6))</f>
        <v>1</v>
      </c>
      <c r="H6" s="2" t="s">
        <v>12</v>
      </c>
      <c r="I6" s="2" t="s">
        <v>9</v>
      </c>
    </row>
    <row r="7" spans="1:9" x14ac:dyDescent="0.25">
      <c r="A7" s="1" t="s">
        <v>30</v>
      </c>
      <c r="B7" s="4">
        <v>43193</v>
      </c>
      <c r="C7" s="4">
        <v>43221</v>
      </c>
      <c r="D7" s="4">
        <v>43222</v>
      </c>
      <c r="E7" s="5">
        <v>733.37</v>
      </c>
      <c r="F7" s="2" t="str">
        <f>_xlfn.IFS(D7="","NÃO CONSTA", D7&lt;=C7,"PAGO", D7&gt;C7,"ATRASO")</f>
        <v>ATRASO</v>
      </c>
      <c r="G7" s="2">
        <f>IF(D7&lt;=C7,0,_xlfn.DAYS(D7,C7))</f>
        <v>1</v>
      </c>
      <c r="H7" s="2" t="s">
        <v>15</v>
      </c>
      <c r="I7" s="2" t="s">
        <v>11</v>
      </c>
    </row>
    <row r="8" spans="1:9" x14ac:dyDescent="0.25">
      <c r="A8" s="1" t="s">
        <v>36</v>
      </c>
      <c r="B8" s="4">
        <v>43194</v>
      </c>
      <c r="C8" s="4">
        <v>43217</v>
      </c>
      <c r="D8" s="4">
        <v>43227</v>
      </c>
      <c r="E8" s="5">
        <v>815.3</v>
      </c>
      <c r="F8" s="2" t="str">
        <f>_xlfn.IFS(D8="","NÃO CONSTA", D8&lt;=C8,"PAGO", D8&gt;C8,"ATRASO")</f>
        <v>ATRASO</v>
      </c>
      <c r="G8" s="2">
        <f>IF(D8&lt;=C8,0,_xlfn.DAYS(D8,C8))</f>
        <v>10</v>
      </c>
      <c r="H8" s="2" t="s">
        <v>16</v>
      </c>
      <c r="I8" s="2" t="s">
        <v>9</v>
      </c>
    </row>
    <row r="9" spans="1:9" x14ac:dyDescent="0.25">
      <c r="A9" s="1" t="s">
        <v>38</v>
      </c>
      <c r="B9" s="4">
        <v>43191</v>
      </c>
      <c r="C9" s="4">
        <v>43217</v>
      </c>
      <c r="D9" s="4">
        <v>43227</v>
      </c>
      <c r="E9" s="5">
        <v>841.37</v>
      </c>
      <c r="F9" s="2" t="str">
        <f>_xlfn.IFS(D9="","NÃO CONSTA", D9&lt;=C9,"PAGO", D9&gt;C9,"ATRASO")</f>
        <v>ATRASO</v>
      </c>
      <c r="G9" s="2">
        <f>IF(D9&lt;=C9,0,_xlfn.DAYS(D9,C9))</f>
        <v>10</v>
      </c>
      <c r="H9" s="2" t="s">
        <v>14</v>
      </c>
      <c r="I9" s="2" t="s">
        <v>11</v>
      </c>
    </row>
    <row r="10" spans="1:9" x14ac:dyDescent="0.25">
      <c r="A10" s="1" t="s">
        <v>39</v>
      </c>
      <c r="B10" s="4">
        <v>43191</v>
      </c>
      <c r="C10" s="4">
        <v>43217</v>
      </c>
      <c r="D10" s="4">
        <v>43227</v>
      </c>
      <c r="E10" s="5">
        <v>841.37</v>
      </c>
      <c r="F10" s="2" t="str">
        <f>_xlfn.IFS(D10="","NÃO CONSTA", D10&lt;=C10,"PAGO", D10&gt;C10,"ATRASO")</f>
        <v>ATRASO</v>
      </c>
      <c r="G10" s="2">
        <f>IF(D10&lt;=C10,0,_xlfn.DAYS(D10,C10))</f>
        <v>10</v>
      </c>
      <c r="H10" s="2" t="s">
        <v>12</v>
      </c>
      <c r="I10" s="2" t="s">
        <v>9</v>
      </c>
    </row>
    <row r="11" spans="1:9" x14ac:dyDescent="0.25">
      <c r="A11" s="1" t="s">
        <v>40</v>
      </c>
      <c r="B11" s="4">
        <v>43193</v>
      </c>
      <c r="C11" s="4">
        <v>43214</v>
      </c>
      <c r="D11" s="4">
        <v>43224</v>
      </c>
      <c r="E11" s="5">
        <v>850</v>
      </c>
      <c r="F11" s="2" t="str">
        <f>_xlfn.IFS(D11="","NÃO CONSTA", D11&lt;=C11,"PAGO", D11&gt;C11,"ATRASO")</f>
        <v>ATRASO</v>
      </c>
      <c r="G11" s="2">
        <f>IF(D11&lt;=C11,0,_xlfn.DAYS(D11,C11))</f>
        <v>10</v>
      </c>
      <c r="H11" s="2" t="s">
        <v>13</v>
      </c>
      <c r="I11" s="2" t="s">
        <v>10</v>
      </c>
    </row>
    <row r="12" spans="1:9" x14ac:dyDescent="0.25">
      <c r="A12" s="1" t="s">
        <v>47</v>
      </c>
      <c r="B12" s="4">
        <v>43193</v>
      </c>
      <c r="C12" s="4">
        <v>43219</v>
      </c>
      <c r="D12" s="4">
        <v>43224</v>
      </c>
      <c r="E12" s="5">
        <v>1047.76</v>
      </c>
      <c r="F12" s="2" t="str">
        <f>_xlfn.IFS(D12="","NÃO CONSTA", D12&lt;=C12,"PAGO", D12&gt;C12,"ATRASO")</f>
        <v>ATRASO</v>
      </c>
      <c r="G12" s="2">
        <f>IF(D12&lt;=C12,0,_xlfn.DAYS(D12,C12))</f>
        <v>5</v>
      </c>
      <c r="H12" s="2" t="s">
        <v>13</v>
      </c>
      <c r="I12" s="2" t="s">
        <v>10</v>
      </c>
    </row>
    <row r="13" spans="1:9" x14ac:dyDescent="0.25">
      <c r="A13" s="1" t="s">
        <v>48</v>
      </c>
      <c r="B13" s="4">
        <v>43193</v>
      </c>
      <c r="C13" s="4">
        <v>43219</v>
      </c>
      <c r="D13" s="4">
        <v>43224</v>
      </c>
      <c r="E13" s="5">
        <v>1047.76</v>
      </c>
      <c r="F13" s="2" t="str">
        <f>_xlfn.IFS(D13="","NÃO CONSTA", D13&lt;=C13,"PAGO", D13&gt;C13,"ATRASO")</f>
        <v>ATRASO</v>
      </c>
      <c r="G13" s="2">
        <f>IF(D13&lt;=C13,0,_xlfn.DAYS(D13,C13))</f>
        <v>5</v>
      </c>
      <c r="H13" s="2" t="s">
        <v>13</v>
      </c>
      <c r="I13" s="2" t="s">
        <v>10</v>
      </c>
    </row>
    <row r="14" spans="1:9" x14ac:dyDescent="0.25">
      <c r="A14" s="1"/>
      <c r="B14" s="4"/>
      <c r="C14" s="4"/>
      <c r="D14" s="4"/>
      <c r="E14" s="5">
        <f>SUM(E2:E13)</f>
        <v>9489.3799999999992</v>
      </c>
      <c r="F14" s="13" t="s">
        <v>51</v>
      </c>
      <c r="G14" s="2"/>
      <c r="H14" s="2"/>
      <c r="I14" s="2"/>
    </row>
    <row r="15" spans="1:9" x14ac:dyDescent="0.25">
      <c r="A15" s="1" t="s">
        <v>17</v>
      </c>
      <c r="B15" s="4">
        <v>43191</v>
      </c>
      <c r="C15" s="4">
        <v>43217</v>
      </c>
      <c r="D15" s="2"/>
      <c r="E15" s="5"/>
      <c r="F15" s="2" t="str">
        <f>_xlfn.IFS(D15="","NÃO CONSTA", D15&lt;=C15,"PAGO", D15&gt;C15,"ATRASO")</f>
        <v>NÃO CONSTA</v>
      </c>
      <c r="G15" s="2">
        <f>IF(D15&lt;=C15,0,_xlfn.DAYS(D15,C15))</f>
        <v>0</v>
      </c>
      <c r="H15" s="2" t="s">
        <v>12</v>
      </c>
      <c r="I15" s="2" t="s">
        <v>9</v>
      </c>
    </row>
    <row r="16" spans="1:9" x14ac:dyDescent="0.25">
      <c r="A16" s="1" t="s">
        <v>24</v>
      </c>
      <c r="B16" s="4">
        <v>43191</v>
      </c>
      <c r="C16" s="4">
        <v>43221</v>
      </c>
      <c r="D16" s="2"/>
      <c r="E16" s="5"/>
      <c r="F16" s="2" t="str">
        <f>_xlfn.IFS(D16="","NÃO CONSTA", D16&lt;=C16,"PAGO", D16&gt;C16,"ATRASO")</f>
        <v>NÃO CONSTA</v>
      </c>
      <c r="G16" s="2">
        <f>IF(D16&lt;=C16,0,_xlfn.DAYS(D16,C16))</f>
        <v>0</v>
      </c>
      <c r="H16" s="2" t="s">
        <v>12</v>
      </c>
      <c r="I16" s="2" t="s">
        <v>9</v>
      </c>
    </row>
    <row r="17" spans="1:9" x14ac:dyDescent="0.25">
      <c r="A17" s="1" t="s">
        <v>29</v>
      </c>
      <c r="B17" s="4">
        <v>43193</v>
      </c>
      <c r="C17" s="4">
        <v>43221</v>
      </c>
      <c r="D17" s="2"/>
      <c r="E17" s="5"/>
      <c r="F17" s="2" t="str">
        <f>_xlfn.IFS(D17="","NÃO CONSTA", D17&lt;=C17,"PAGO", D17&gt;C17,"ATRASO")</f>
        <v>NÃO CONSTA</v>
      </c>
      <c r="G17" s="2">
        <f>IF(D17&lt;=C17,0,_xlfn.DAYS(D17,C17))</f>
        <v>0</v>
      </c>
      <c r="H17" s="2" t="s">
        <v>15</v>
      </c>
      <c r="I17" s="2" t="s">
        <v>11</v>
      </c>
    </row>
    <row r="18" spans="1:9" x14ac:dyDescent="0.25">
      <c r="A18" s="1" t="s">
        <v>33</v>
      </c>
      <c r="B18" s="4">
        <v>43191</v>
      </c>
      <c r="C18" s="4">
        <v>43214</v>
      </c>
      <c r="D18" s="2"/>
      <c r="E18" s="5"/>
      <c r="F18" s="2" t="str">
        <f>_xlfn.IFS(D18="","NÃO CONSTA", D18&lt;=C18,"PAGO", D18&gt;C18,"ATRASO")</f>
        <v>NÃO CONSTA</v>
      </c>
      <c r="G18" s="2">
        <f>IF(D18&lt;=C18,0,_xlfn.DAYS(D18,C18))</f>
        <v>0</v>
      </c>
      <c r="H18" s="2" t="s">
        <v>12</v>
      </c>
      <c r="I18" s="2" t="s">
        <v>9</v>
      </c>
    </row>
    <row r="19" spans="1:9" x14ac:dyDescent="0.25">
      <c r="A19" s="1" t="s">
        <v>37</v>
      </c>
      <c r="B19" s="4">
        <v>43194</v>
      </c>
      <c r="C19" s="4">
        <v>43217</v>
      </c>
      <c r="D19" s="2"/>
      <c r="E19" s="5"/>
      <c r="F19" s="2" t="str">
        <f>_xlfn.IFS(D19="","NÃO CONSTA", D19&lt;=C19,"PAGO", D19&gt;C19,"ATRASO")</f>
        <v>NÃO CONSTA</v>
      </c>
      <c r="G19" s="2">
        <f>IF(D19&lt;=C19,0,_xlfn.DAYS(D19,C19))</f>
        <v>0</v>
      </c>
      <c r="H19" s="2" t="s">
        <v>16</v>
      </c>
      <c r="I19" s="2" t="s">
        <v>9</v>
      </c>
    </row>
    <row r="20" spans="1:9" x14ac:dyDescent="0.25">
      <c r="A20" s="1" t="s">
        <v>41</v>
      </c>
      <c r="B20" s="4">
        <v>43193</v>
      </c>
      <c r="C20" s="4">
        <v>43214</v>
      </c>
      <c r="D20" s="2"/>
      <c r="E20" s="5"/>
      <c r="F20" s="2" t="str">
        <f>_xlfn.IFS(D20="","NÃO CONSTA", D20&lt;=C20,"PAGO", D20&gt;C20,"ATRASO")</f>
        <v>NÃO CONSTA</v>
      </c>
      <c r="G20" s="2">
        <f>IF(D20&lt;=C20,0,_xlfn.DAYS(D20,C20))</f>
        <v>0</v>
      </c>
      <c r="H20" s="2" t="s">
        <v>13</v>
      </c>
      <c r="I20" s="2" t="s">
        <v>10</v>
      </c>
    </row>
    <row r="21" spans="1:9" x14ac:dyDescent="0.25">
      <c r="A21" s="1" t="s">
        <v>46</v>
      </c>
      <c r="B21" s="4">
        <v>43193</v>
      </c>
      <c r="C21" s="4">
        <v>43218</v>
      </c>
      <c r="D21" s="4"/>
      <c r="E21" s="5"/>
      <c r="F21" s="2" t="str">
        <f>_xlfn.IFS(D21="","NÃO CONSTA", D21&lt;=C21,"PAGO", D21&gt;C21,"ATRASO")</f>
        <v>NÃO CONSTA</v>
      </c>
      <c r="G21" s="2">
        <f>IF(D21&lt;=C21,0,_xlfn.DAYS(D21,C21))</f>
        <v>0</v>
      </c>
      <c r="H21" s="2" t="s">
        <v>12</v>
      </c>
      <c r="I21" s="2" t="s">
        <v>9</v>
      </c>
    </row>
    <row r="22" spans="1:9" x14ac:dyDescent="0.25">
      <c r="A22" s="1" t="s">
        <v>49</v>
      </c>
      <c r="B22" s="4">
        <v>43191</v>
      </c>
      <c r="C22" s="4">
        <v>43219</v>
      </c>
      <c r="D22" s="2"/>
      <c r="E22" s="5"/>
      <c r="F22" s="2" t="str">
        <f>_xlfn.IFS(D22="","NÃO CONSTA", D22&lt;=C22,"PAGO", D22&gt;C22,"ATRASO")</f>
        <v>NÃO CONSTA</v>
      </c>
      <c r="G22" s="2">
        <f>IF(D22&lt;=C22,0,_xlfn.DAYS(D22,C22))</f>
        <v>0</v>
      </c>
      <c r="H22" s="2" t="s">
        <v>14</v>
      </c>
      <c r="I22" s="2" t="s">
        <v>11</v>
      </c>
    </row>
    <row r="23" spans="1:9" x14ac:dyDescent="0.25">
      <c r="A23" s="1"/>
      <c r="B23" s="4"/>
      <c r="C23" s="4"/>
      <c r="D23" s="2"/>
      <c r="E23" s="14">
        <v>0</v>
      </c>
      <c r="F23" s="13" t="s">
        <v>52</v>
      </c>
      <c r="G23" s="2"/>
      <c r="H23" s="2"/>
      <c r="I23" s="2"/>
    </row>
    <row r="24" spans="1:9" x14ac:dyDescent="0.25">
      <c r="A24" s="1" t="s">
        <v>18</v>
      </c>
      <c r="B24" s="4">
        <v>43191</v>
      </c>
      <c r="C24" s="4">
        <v>43217</v>
      </c>
      <c r="D24" s="4">
        <v>43217</v>
      </c>
      <c r="E24" s="5">
        <v>573.76</v>
      </c>
      <c r="F24" s="2" t="str">
        <f>_xlfn.IFS(D24="","NÃO CONSTA", D24&lt;=C24,"PAGO", D24&gt;C24,"ATRASO")</f>
        <v>PAGO</v>
      </c>
      <c r="G24" s="2">
        <f>IF(D24&lt;=C24,0,_xlfn.DAYS(D24,C24))</f>
        <v>0</v>
      </c>
      <c r="H24" s="2" t="s">
        <v>12</v>
      </c>
      <c r="I24" s="2" t="s">
        <v>9</v>
      </c>
    </row>
    <row r="25" spans="1:9" x14ac:dyDescent="0.25">
      <c r="A25" s="1" t="s">
        <v>19</v>
      </c>
      <c r="B25" s="4">
        <v>43193</v>
      </c>
      <c r="C25" s="4">
        <v>43218</v>
      </c>
      <c r="D25" s="4">
        <v>43218</v>
      </c>
      <c r="E25" s="5">
        <v>582.48</v>
      </c>
      <c r="F25" s="2" t="str">
        <f>_xlfn.IFS(D25="","NÃO CONSTA", D25&lt;=C25,"PAGO", D25&gt;C25,"ATRASO")</f>
        <v>PAGO</v>
      </c>
      <c r="G25" s="2">
        <f>IF(D25&lt;=C25,0,_xlfn.DAYS(D25,C25))</f>
        <v>0</v>
      </c>
      <c r="H25" s="2" t="s">
        <v>13</v>
      </c>
      <c r="I25" s="2" t="s">
        <v>10</v>
      </c>
    </row>
    <row r="26" spans="1:9" x14ac:dyDescent="0.25">
      <c r="A26" s="1" t="s">
        <v>20</v>
      </c>
      <c r="B26" s="4">
        <v>43193</v>
      </c>
      <c r="C26" s="4">
        <v>43218</v>
      </c>
      <c r="D26" s="4">
        <v>43218</v>
      </c>
      <c r="E26" s="5">
        <v>582.48</v>
      </c>
      <c r="F26" s="2" t="str">
        <f>_xlfn.IFS(D26="","NÃO CONSTA", D26&lt;=C26,"PAGO", D26&gt;C26,"ATRASO")</f>
        <v>PAGO</v>
      </c>
      <c r="G26" s="2">
        <f>IF(D26&lt;=C26,0,_xlfn.DAYS(D26,C26))</f>
        <v>0</v>
      </c>
      <c r="H26" s="2" t="s">
        <v>12</v>
      </c>
      <c r="I26" s="2" t="s">
        <v>9</v>
      </c>
    </row>
    <row r="27" spans="1:9" x14ac:dyDescent="0.25">
      <c r="A27" s="1" t="s">
        <v>21</v>
      </c>
      <c r="B27" s="4">
        <v>43191</v>
      </c>
      <c r="C27" s="4">
        <v>43219</v>
      </c>
      <c r="D27" s="4">
        <v>43219</v>
      </c>
      <c r="E27" s="5">
        <v>582.88</v>
      </c>
      <c r="F27" s="2" t="str">
        <f>_xlfn.IFS(D27="","NÃO CONSTA", D27&lt;=C27,"PAGO", D27&gt;C27,"ATRASO")</f>
        <v>PAGO</v>
      </c>
      <c r="G27" s="2">
        <f>IF(D27&lt;=C27,0,_xlfn.DAYS(D27,C27))</f>
        <v>0</v>
      </c>
      <c r="H27" s="2" t="s">
        <v>14</v>
      </c>
      <c r="I27" s="2" t="s">
        <v>11</v>
      </c>
    </row>
    <row r="28" spans="1:9" x14ac:dyDescent="0.25">
      <c r="A28" s="1" t="s">
        <v>22</v>
      </c>
      <c r="B28" s="4">
        <v>43191</v>
      </c>
      <c r="C28" s="4">
        <v>43219</v>
      </c>
      <c r="D28" s="4">
        <v>43219</v>
      </c>
      <c r="E28" s="5">
        <v>582.88</v>
      </c>
      <c r="F28" s="2" t="str">
        <f>_xlfn.IFS(D28="","NÃO CONSTA", D28&lt;=C28,"PAGO", D28&gt;C28,"ATRASO")</f>
        <v>PAGO</v>
      </c>
      <c r="G28" s="2">
        <f>IF(D28&lt;=C28,0,_xlfn.DAYS(D28,C28))</f>
        <v>0</v>
      </c>
      <c r="H28" s="2" t="s">
        <v>12</v>
      </c>
      <c r="I28" s="2" t="s">
        <v>9</v>
      </c>
    </row>
    <row r="29" spans="1:9" x14ac:dyDescent="0.25">
      <c r="A29" s="1" t="s">
        <v>31</v>
      </c>
      <c r="B29" s="4">
        <v>43193</v>
      </c>
      <c r="C29" s="4">
        <v>43223</v>
      </c>
      <c r="D29" s="4">
        <v>43221</v>
      </c>
      <c r="E29" s="5">
        <v>765.44</v>
      </c>
      <c r="F29" s="2" t="str">
        <f>_xlfn.IFS(D29="","NÃO CONSTA", D29&lt;=C29,"PAGO", D29&gt;C29,"ATRASO")</f>
        <v>PAGO</v>
      </c>
      <c r="G29" s="2">
        <f>IF(D29&lt;=C29,0,_xlfn.DAYS(D29,C29))</f>
        <v>0</v>
      </c>
      <c r="H29" s="2" t="s">
        <v>13</v>
      </c>
      <c r="I29" s="2" t="s">
        <v>10</v>
      </c>
    </row>
    <row r="30" spans="1:9" x14ac:dyDescent="0.25">
      <c r="A30" s="1" t="s">
        <v>32</v>
      </c>
      <c r="B30" s="4">
        <v>43193</v>
      </c>
      <c r="C30" s="4">
        <v>43223</v>
      </c>
      <c r="D30" s="4">
        <v>43221</v>
      </c>
      <c r="E30" s="5">
        <v>765.44</v>
      </c>
      <c r="F30" s="2" t="str">
        <f>_xlfn.IFS(D30="","NÃO CONSTA", D30&lt;=C30,"PAGO", D30&gt;C30,"ATRASO")</f>
        <v>PAGO</v>
      </c>
      <c r="G30" s="2">
        <f>IF(D30&lt;=C30,0,_xlfn.DAYS(D30,C30))</f>
        <v>0</v>
      </c>
      <c r="H30" s="2" t="s">
        <v>12</v>
      </c>
      <c r="I30" s="2" t="s">
        <v>9</v>
      </c>
    </row>
    <row r="31" spans="1:9" x14ac:dyDescent="0.25">
      <c r="A31" s="1" t="s">
        <v>34</v>
      </c>
      <c r="B31" s="4">
        <v>43191</v>
      </c>
      <c r="C31" s="4">
        <v>43216</v>
      </c>
      <c r="D31" s="4">
        <v>43214</v>
      </c>
      <c r="E31" s="5">
        <v>800</v>
      </c>
      <c r="F31" s="2" t="str">
        <f>_xlfn.IFS(D31="","NÃO CONSTA", D31&lt;=C31,"PAGO", D31&gt;C31,"ATRASO")</f>
        <v>PAGO</v>
      </c>
      <c r="G31" s="2">
        <f>IF(D31&lt;=C31,0,_xlfn.DAYS(D31,C31))</f>
        <v>0</v>
      </c>
      <c r="H31" s="2" t="s">
        <v>14</v>
      </c>
      <c r="I31" s="2" t="s">
        <v>11</v>
      </c>
    </row>
    <row r="32" spans="1:9" x14ac:dyDescent="0.25">
      <c r="A32" s="1" t="s">
        <v>35</v>
      </c>
      <c r="B32" s="4">
        <v>43191</v>
      </c>
      <c r="C32" s="4">
        <v>43216</v>
      </c>
      <c r="D32" s="4">
        <v>43214</v>
      </c>
      <c r="E32" s="5">
        <v>800</v>
      </c>
      <c r="F32" s="2" t="str">
        <f>_xlfn.IFS(D32="","NÃO CONSTA", D32&lt;=C32,"PAGO", D32&gt;C32,"ATRASO")</f>
        <v>PAGO</v>
      </c>
      <c r="G32" s="2">
        <f>IF(D32&lt;=C32,0,_xlfn.DAYS(D32,C32))</f>
        <v>0</v>
      </c>
      <c r="H32" s="2" t="s">
        <v>14</v>
      </c>
      <c r="I32" s="2" t="s">
        <v>11</v>
      </c>
    </row>
    <row r="33" spans="1:9" x14ac:dyDescent="0.25">
      <c r="A33" s="1" t="s">
        <v>42</v>
      </c>
      <c r="B33" s="4">
        <v>43193</v>
      </c>
      <c r="C33" s="4">
        <v>43215</v>
      </c>
      <c r="D33" s="4">
        <v>43212</v>
      </c>
      <c r="E33" s="5">
        <v>931.39</v>
      </c>
      <c r="F33" s="2" t="str">
        <f>_xlfn.IFS(D33="","NÃO CONSTA", D33&lt;=C33,"PAGO", D33&gt;C33,"ATRASO")</f>
        <v>PAGO</v>
      </c>
      <c r="G33" s="2">
        <f>IF(D33&lt;=C33,0,_xlfn.DAYS(D33,C33))</f>
        <v>0</v>
      </c>
      <c r="H33" s="2" t="s">
        <v>13</v>
      </c>
      <c r="I33" s="2" t="s">
        <v>10</v>
      </c>
    </row>
    <row r="34" spans="1:9" x14ac:dyDescent="0.25">
      <c r="A34" s="1" t="s">
        <v>43</v>
      </c>
      <c r="B34" s="4">
        <v>43193</v>
      </c>
      <c r="C34" s="4">
        <v>43215</v>
      </c>
      <c r="D34" s="4">
        <v>43212</v>
      </c>
      <c r="E34" s="5">
        <v>931.39</v>
      </c>
      <c r="F34" s="2" t="str">
        <f>_xlfn.IFS(D34="","NÃO CONSTA", D34&lt;=C34,"PAGO", D34&gt;C34,"ATRASO")</f>
        <v>PAGO</v>
      </c>
      <c r="G34" s="2">
        <f>IF(D34&lt;=C34,0,_xlfn.DAYS(D34,C34))</f>
        <v>0</v>
      </c>
      <c r="H34" s="2" t="s">
        <v>13</v>
      </c>
      <c r="I34" s="2" t="s">
        <v>10</v>
      </c>
    </row>
    <row r="35" spans="1:9" x14ac:dyDescent="0.25">
      <c r="A35" s="1" t="s">
        <v>44</v>
      </c>
      <c r="B35" s="4">
        <v>43193</v>
      </c>
      <c r="C35" s="4">
        <v>43216</v>
      </c>
      <c r="D35" s="4">
        <v>43213</v>
      </c>
      <c r="E35" s="5">
        <v>966</v>
      </c>
      <c r="F35" s="2" t="str">
        <f>_xlfn.IFS(D35="","NÃO CONSTA", D35&lt;=C35,"PAGO", D35&gt;C35,"ATRASO")</f>
        <v>PAGO</v>
      </c>
      <c r="G35" s="2">
        <f>IF(D35&lt;=C35,0,_xlfn.DAYS(D35,C35))</f>
        <v>0</v>
      </c>
      <c r="H35" s="2" t="s">
        <v>13</v>
      </c>
      <c r="I35" s="2" t="s">
        <v>10</v>
      </c>
    </row>
    <row r="36" spans="1:9" x14ac:dyDescent="0.25">
      <c r="A36" s="1" t="s">
        <v>45</v>
      </c>
      <c r="B36" s="4">
        <v>43193</v>
      </c>
      <c r="C36" s="4">
        <v>43218</v>
      </c>
      <c r="D36" s="4">
        <v>43215</v>
      </c>
      <c r="E36" s="5">
        <v>985.5</v>
      </c>
      <c r="F36" s="2" t="str">
        <f>_xlfn.IFS(D36="","NÃO CONSTA", D36&lt;=C36,"PAGO", D36&gt;C36,"ATRASO")</f>
        <v>PAGO</v>
      </c>
      <c r="G36" s="2">
        <f>IF(D36&lt;=C36,0,_xlfn.DAYS(D36,C36))</f>
        <v>0</v>
      </c>
      <c r="H36" s="2" t="s">
        <v>13</v>
      </c>
      <c r="I36" s="2" t="s">
        <v>10</v>
      </c>
    </row>
    <row r="37" spans="1:9" x14ac:dyDescent="0.25">
      <c r="A37" s="1" t="s">
        <v>50</v>
      </c>
      <c r="B37" s="4">
        <v>43191</v>
      </c>
      <c r="C37" s="4">
        <v>43219</v>
      </c>
      <c r="D37" s="4">
        <v>43219</v>
      </c>
      <c r="E37" s="5">
        <v>1132</v>
      </c>
      <c r="F37" s="2" t="str">
        <f>_xlfn.IFS(D37="","NÃO CONSTA", D37&lt;=C37,"PAGO", D37&gt;C37,"ATRASO")</f>
        <v>PAGO</v>
      </c>
      <c r="G37" s="2">
        <f>IF(D37&lt;=C37,0,_xlfn.DAYS(D37,C37))</f>
        <v>0</v>
      </c>
      <c r="H37" s="2" t="s">
        <v>12</v>
      </c>
      <c r="I37" s="2" t="s">
        <v>9</v>
      </c>
    </row>
    <row r="38" spans="1:9" x14ac:dyDescent="0.25">
      <c r="A38" s="1"/>
      <c r="B38" s="4"/>
      <c r="C38" s="4"/>
      <c r="D38" s="4"/>
      <c r="E38" s="5">
        <f>SUM(E24:E37)</f>
        <v>10981.640000000001</v>
      </c>
      <c r="F38" s="13" t="s">
        <v>53</v>
      </c>
      <c r="G38" s="2"/>
      <c r="H38" s="2"/>
      <c r="I38" s="2"/>
    </row>
    <row r="39" spans="1:9" x14ac:dyDescent="0.25">
      <c r="E39" s="16">
        <f>SUM(E24:E37,E2:E13)</f>
        <v>20471.019999999997</v>
      </c>
      <c r="F39" s="15" t="s">
        <v>54</v>
      </c>
    </row>
  </sheetData>
  <sortState ref="A2:I37">
    <sortCondition ref="F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Subtotal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WILCK GOMES DE OLIVEIRA</cp:lastModifiedBy>
  <dcterms:created xsi:type="dcterms:W3CDTF">2015-06-05T18:19:34Z</dcterms:created>
  <dcterms:modified xsi:type="dcterms:W3CDTF">2026-03-12T00:52:19Z</dcterms:modified>
</cp:coreProperties>
</file>