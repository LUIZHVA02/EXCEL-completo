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uizh\Excel completo SENAI\Avancado\"/>
    </mc:Choice>
  </mc:AlternateContent>
  <xr:revisionPtr revIDLastSave="0" documentId="13_ncr:1_{E5BF9B02-49AC-41FC-B7D8-8892C7CAE73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ase de Dados" sheetId="1" r:id="rId1"/>
    <sheet name="Subtotal" sheetId="2" r:id="rId2"/>
    <sheet name="Filtro avançad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" i="3" l="1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E39" i="2"/>
  <c r="E38" i="2"/>
  <c r="E14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2" i="1"/>
  <c r="F15" i="2"/>
  <c r="F24" i="2"/>
  <c r="F25" i="2"/>
  <c r="F26" i="2"/>
  <c r="F27" i="2"/>
  <c r="F28" i="2"/>
  <c r="F2" i="2"/>
  <c r="F16" i="2"/>
  <c r="F3" i="2"/>
  <c r="F4" i="2"/>
  <c r="F5" i="2"/>
  <c r="F6" i="2"/>
  <c r="F17" i="2"/>
  <c r="F7" i="2"/>
  <c r="F29" i="2"/>
  <c r="F30" i="2"/>
  <c r="F18" i="2"/>
  <c r="F31" i="2"/>
  <c r="F32" i="2"/>
  <c r="F8" i="2"/>
  <c r="F19" i="2"/>
  <c r="F9" i="2"/>
  <c r="F10" i="2"/>
  <c r="F11" i="2"/>
  <c r="F20" i="2"/>
  <c r="F33" i="2"/>
  <c r="F34" i="2"/>
  <c r="F35" i="2"/>
  <c r="F36" i="2"/>
  <c r="F21" i="2"/>
  <c r="F12" i="2"/>
  <c r="F13" i="2"/>
  <c r="F22" i="2"/>
  <c r="F37" i="2"/>
  <c r="G37" i="2"/>
  <c r="G22" i="2"/>
  <c r="G13" i="2"/>
  <c r="G12" i="2"/>
  <c r="G21" i="2"/>
  <c r="G36" i="2"/>
  <c r="G35" i="2"/>
  <c r="G34" i="2"/>
  <c r="G33" i="2"/>
  <c r="G20" i="2"/>
  <c r="G11" i="2"/>
  <c r="G10" i="2"/>
  <c r="G9" i="2"/>
  <c r="G19" i="2"/>
  <c r="G8" i="2"/>
  <c r="G32" i="2"/>
  <c r="G31" i="2"/>
  <c r="G18" i="2"/>
  <c r="G30" i="2"/>
  <c r="G29" i="2"/>
  <c r="G7" i="2"/>
  <c r="G17" i="2"/>
  <c r="G6" i="2"/>
  <c r="G5" i="2"/>
  <c r="G4" i="2"/>
  <c r="G3" i="2"/>
  <c r="G16" i="2"/>
  <c r="G2" i="2"/>
  <c r="G28" i="2"/>
  <c r="G27" i="2"/>
  <c r="G26" i="2"/>
  <c r="G25" i="2"/>
  <c r="G24" i="2"/>
  <c r="G15" i="2"/>
  <c r="G2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<sst xmlns="http://schemas.openxmlformats.org/spreadsheetml/2006/main" count="354" uniqueCount="63">
  <si>
    <t>NOME</t>
  </si>
  <si>
    <t>EMISSÃO</t>
  </si>
  <si>
    <t>VENCIMENTO</t>
  </si>
  <si>
    <t>PAGAMENTO</t>
  </si>
  <si>
    <t>VALOR</t>
  </si>
  <si>
    <t>SITUAÇÃO</t>
  </si>
  <si>
    <t>DIAS ATRASO</t>
  </si>
  <si>
    <t>CIDADE</t>
  </si>
  <si>
    <t>REGIÃO</t>
  </si>
  <si>
    <t>SUDESTE</t>
  </si>
  <si>
    <t>CENTRO-OESTE</t>
  </si>
  <si>
    <t>NORTE</t>
  </si>
  <si>
    <t>SÃO PAULO</t>
  </si>
  <si>
    <t>BRASÍLIA</t>
  </si>
  <si>
    <t>PORTO VELHO</t>
  </si>
  <si>
    <t>MANAUS</t>
  </si>
  <si>
    <t>BARRA BONITA</t>
  </si>
  <si>
    <t>DAVI</t>
  </si>
  <si>
    <t>EDUARDO</t>
  </si>
  <si>
    <t>GEORGE</t>
  </si>
  <si>
    <t>PEDRO</t>
  </si>
  <si>
    <t>HEITOR</t>
  </si>
  <si>
    <t>TERESA</t>
  </si>
  <si>
    <t>AUGUSTO</t>
  </si>
  <si>
    <t>ISABELA</t>
  </si>
  <si>
    <t>BENARDO</t>
  </si>
  <si>
    <t>CAETANO</t>
  </si>
  <si>
    <t>NUNO</t>
  </si>
  <si>
    <t>TOMÁS</t>
  </si>
  <si>
    <t>ANTÔNIA</t>
  </si>
  <si>
    <t>CATARINA</t>
  </si>
  <si>
    <t>GISELA</t>
  </si>
  <si>
    <t>ARTUR</t>
  </si>
  <si>
    <t>JOAQUIM</t>
  </si>
  <si>
    <t>RAMON</t>
  </si>
  <si>
    <t>RAUL</t>
  </si>
  <si>
    <t>CONRADO</t>
  </si>
  <si>
    <t>VITÓRIO</t>
  </si>
  <si>
    <t>MIGUEL</t>
  </si>
  <si>
    <t>ÚRSULA</t>
  </si>
  <si>
    <t>LÁZARO</t>
  </si>
  <si>
    <t>OLÍVIA</t>
  </si>
  <si>
    <t>FRANCISCO</t>
  </si>
  <si>
    <t>LIS</t>
  </si>
  <si>
    <t>MARTINO</t>
  </si>
  <si>
    <t>DORA</t>
  </si>
  <si>
    <t>PATRÍCIO</t>
  </si>
  <si>
    <t>BERENICE</t>
  </si>
  <si>
    <t>CÍCERO</t>
  </si>
  <si>
    <t>HENRIQUE</t>
  </si>
  <si>
    <t>LARA</t>
  </si>
  <si>
    <t>ATRASO Total</t>
  </si>
  <si>
    <t>NÃO CONSTA Total</t>
  </si>
  <si>
    <t>PAGO Total</t>
  </si>
  <si>
    <t>Total Geral</t>
  </si>
  <si>
    <t>Área de critérios</t>
  </si>
  <si>
    <t>Área de extração</t>
  </si>
  <si>
    <t>RESUMO</t>
  </si>
  <si>
    <t>BDSOMA</t>
  </si>
  <si>
    <t>BDMÉDIA</t>
  </si>
  <si>
    <t>BDMIN</t>
  </si>
  <si>
    <t>BDMÁX</t>
  </si>
  <si>
    <t>BDCONTAR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</si>
</sst>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44" fontId="0" fillId="0" borderId="0" xfId="1" applyFont="1"/>
    <xf numFmtId="0" fontId="0" fillId="0" borderId="3" xfId="0" applyBorder="1"/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4" fontId="0" fillId="0" borderId="3" xfId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44" fontId="2" fillId="2" borderId="2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0" fillId="0" borderId="0" xfId="0" applyNumberFormat="1"/>
    <xf numFmtId="0" fontId="0" fillId="3" borderId="1" xfId="0" applyFill="1" applyBorder="1"/>
    <xf numFmtId="14" fontId="0" fillId="3" borderId="1" xfId="0" applyNumberFormat="1" applyFill="1" applyBorder="1" applyAlignment="1">
      <alignment horizontal="center" vertical="center"/>
    </xf>
    <xf numFmtId="44" fontId="0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4" borderId="1" xfId="0" applyFont="1" applyFill="1" applyBorder="1" applyAlignment="1">
      <alignment horizontal="left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workbookViewId="0">
      <selection activeCell="A2" sqref="A2:I35"/>
    </sheetView>
  </sheetViews>
  <sheetFormatPr defaultRowHeight="14.4" x14ac:dyDescent="0.3"/>
  <cols>
    <col min="1" max="1" width="11.109375" bestFit="1" customWidth="1"/>
    <col min="2" max="2" width="10.6640625" bestFit="1" customWidth="1"/>
    <col min="3" max="3" width="13.33203125" bestFit="1" customWidth="1"/>
    <col min="4" max="4" width="12.88671875" bestFit="1" customWidth="1"/>
    <col min="5" max="5" width="12.109375" style="6" bestFit="1" customWidth="1"/>
    <col min="6" max="6" width="12.88671875" bestFit="1" customWidth="1"/>
    <col min="7" max="7" width="12.6640625" bestFit="1" customWidth="1"/>
    <col min="8" max="8" width="14.44140625" bestFit="1" customWidth="1"/>
    <col min="9" max="9" width="14.44140625" style="3" bestFit="1" customWidth="1"/>
  </cols>
  <sheetData>
    <row r="1" spans="1:9" ht="15" thickBo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1" t="s">
        <v>5</v>
      </c>
      <c r="G1" s="11" t="s">
        <v>6</v>
      </c>
      <c r="H1" s="11" t="s">
        <v>7</v>
      </c>
      <c r="I1" s="11" t="s">
        <v>8</v>
      </c>
    </row>
    <row r="2" spans="1:9" ht="15" thickTop="1" x14ac:dyDescent="0.3">
      <c r="A2" s="7" t="s">
        <v>17</v>
      </c>
      <c r="B2" s="8">
        <v>43191</v>
      </c>
      <c r="C2" s="8">
        <v>43217</v>
      </c>
      <c r="D2" s="9"/>
      <c r="E2" s="10"/>
      <c r="F2" s="9" t="str">
        <f>_xlfn.IFS(D2="","NÃO CONSTA", D2&lt;=C2,"PAGO", D2&gt;C2,"ATRASO")</f>
        <v>NÃO CONSTA</v>
      </c>
      <c r="G2" s="2">
        <f>IF(D2&lt;=C2,0,_xlfn.DAYS(D2,C2))</f>
        <v>0</v>
      </c>
      <c r="H2" s="9" t="s">
        <v>12</v>
      </c>
      <c r="I2" s="9" t="s">
        <v>9</v>
      </c>
    </row>
    <row r="3" spans="1:9" x14ac:dyDescent="0.3">
      <c r="A3" s="1" t="s">
        <v>18</v>
      </c>
      <c r="B3" s="4">
        <v>43191</v>
      </c>
      <c r="C3" s="4">
        <v>43217</v>
      </c>
      <c r="D3" s="4">
        <v>43217</v>
      </c>
      <c r="E3" s="5">
        <v>573.76</v>
      </c>
      <c r="F3" s="9" t="str">
        <f t="shared" ref="F3:F35" si="0">_xlfn.IFS(D3="","NÃO CONSTA", D3&lt;=C3,"PAGO", D3&gt;C3,"ATRASO")</f>
        <v>PAGO</v>
      </c>
      <c r="G3" s="2">
        <f>IF(D3&lt;=C3,0,_xlfn.DAYS(D3,C3))</f>
        <v>0</v>
      </c>
      <c r="H3" s="2" t="s">
        <v>12</v>
      </c>
      <c r="I3" s="2" t="s">
        <v>9</v>
      </c>
    </row>
    <row r="4" spans="1:9" x14ac:dyDescent="0.3">
      <c r="A4" s="1" t="s">
        <v>19</v>
      </c>
      <c r="B4" s="4">
        <v>43193</v>
      </c>
      <c r="C4" s="4">
        <v>43218</v>
      </c>
      <c r="D4" s="4">
        <v>43218</v>
      </c>
      <c r="E4" s="5">
        <v>582.48</v>
      </c>
      <c r="F4" s="9" t="str">
        <f t="shared" si="0"/>
        <v>PAGO</v>
      </c>
      <c r="G4" s="2">
        <f t="shared" ref="G4:G35" si="1">IF(D4&lt;=C4,0,_xlfn.DAYS(D4,C4))</f>
        <v>0</v>
      </c>
      <c r="H4" s="2" t="s">
        <v>13</v>
      </c>
      <c r="I4" s="2" t="s">
        <v>10</v>
      </c>
    </row>
    <row r="5" spans="1:9" x14ac:dyDescent="0.3">
      <c r="A5" s="1" t="s">
        <v>20</v>
      </c>
      <c r="B5" s="4">
        <v>43193</v>
      </c>
      <c r="C5" s="4">
        <v>43218</v>
      </c>
      <c r="D5" s="4">
        <v>43218</v>
      </c>
      <c r="E5" s="5">
        <v>582.48</v>
      </c>
      <c r="F5" s="9" t="str">
        <f t="shared" si="0"/>
        <v>PAGO</v>
      </c>
      <c r="G5" s="2">
        <f t="shared" si="1"/>
        <v>0</v>
      </c>
      <c r="H5" s="2" t="s">
        <v>12</v>
      </c>
      <c r="I5" s="2" t="s">
        <v>9</v>
      </c>
    </row>
    <row r="6" spans="1:9" x14ac:dyDescent="0.3">
      <c r="A6" s="1" t="s">
        <v>21</v>
      </c>
      <c r="B6" s="4">
        <v>43191</v>
      </c>
      <c r="C6" s="4">
        <v>43219</v>
      </c>
      <c r="D6" s="4">
        <v>43219</v>
      </c>
      <c r="E6" s="5">
        <v>582.88</v>
      </c>
      <c r="F6" s="9" t="str">
        <f t="shared" si="0"/>
        <v>PAGO</v>
      </c>
      <c r="G6" s="2">
        <f t="shared" si="1"/>
        <v>0</v>
      </c>
      <c r="H6" s="2" t="s">
        <v>14</v>
      </c>
      <c r="I6" s="2" t="s">
        <v>11</v>
      </c>
    </row>
    <row r="7" spans="1:9" x14ac:dyDescent="0.3">
      <c r="A7" s="1" t="s">
        <v>22</v>
      </c>
      <c r="B7" s="4">
        <v>43191</v>
      </c>
      <c r="C7" s="4">
        <v>43219</v>
      </c>
      <c r="D7" s="4">
        <v>43219</v>
      </c>
      <c r="E7" s="5">
        <v>582.88</v>
      </c>
      <c r="F7" s="9" t="str">
        <f t="shared" si="0"/>
        <v>PAGO</v>
      </c>
      <c r="G7" s="2">
        <f t="shared" si="1"/>
        <v>0</v>
      </c>
      <c r="H7" s="2" t="s">
        <v>12</v>
      </c>
      <c r="I7" s="2" t="s">
        <v>9</v>
      </c>
    </row>
    <row r="8" spans="1:9" x14ac:dyDescent="0.3">
      <c r="A8" s="1" t="s">
        <v>23</v>
      </c>
      <c r="B8" s="4">
        <v>43191</v>
      </c>
      <c r="C8" s="4">
        <v>43221</v>
      </c>
      <c r="D8" s="4">
        <v>43222</v>
      </c>
      <c r="E8" s="5">
        <v>611.82000000000005</v>
      </c>
      <c r="F8" s="9" t="str">
        <f t="shared" si="0"/>
        <v>ATRASO</v>
      </c>
      <c r="G8" s="2">
        <f t="shared" si="1"/>
        <v>1</v>
      </c>
      <c r="H8" s="2" t="s">
        <v>12</v>
      </c>
      <c r="I8" s="2" t="s">
        <v>9</v>
      </c>
    </row>
    <row r="9" spans="1:9" x14ac:dyDescent="0.3">
      <c r="A9" s="1" t="s">
        <v>24</v>
      </c>
      <c r="B9" s="4">
        <v>43191</v>
      </c>
      <c r="C9" s="4">
        <v>43221</v>
      </c>
      <c r="D9" s="2"/>
      <c r="E9" s="5"/>
      <c r="F9" s="9" t="str">
        <f t="shared" si="0"/>
        <v>NÃO CONSTA</v>
      </c>
      <c r="G9" s="2">
        <f t="shared" si="1"/>
        <v>0</v>
      </c>
      <c r="H9" s="2" t="s">
        <v>12</v>
      </c>
      <c r="I9" s="2" t="s">
        <v>9</v>
      </c>
    </row>
    <row r="10" spans="1:9" x14ac:dyDescent="0.3">
      <c r="A10" s="1" t="s">
        <v>25</v>
      </c>
      <c r="B10" s="4">
        <v>43193</v>
      </c>
      <c r="C10" s="4">
        <v>43219</v>
      </c>
      <c r="D10" s="4">
        <v>43220</v>
      </c>
      <c r="E10" s="5">
        <v>633.63</v>
      </c>
      <c r="F10" s="9" t="str">
        <f t="shared" si="0"/>
        <v>ATRASO</v>
      </c>
      <c r="G10" s="2">
        <f t="shared" si="1"/>
        <v>1</v>
      </c>
      <c r="H10" s="2" t="s">
        <v>13</v>
      </c>
      <c r="I10" s="2" t="s">
        <v>10</v>
      </c>
    </row>
    <row r="11" spans="1:9" x14ac:dyDescent="0.3">
      <c r="A11" s="1" t="s">
        <v>26</v>
      </c>
      <c r="B11" s="4">
        <v>43193</v>
      </c>
      <c r="C11" s="4">
        <v>43219</v>
      </c>
      <c r="D11" s="4">
        <v>43220</v>
      </c>
      <c r="E11" s="5">
        <v>633.63</v>
      </c>
      <c r="F11" s="9" t="str">
        <f t="shared" si="0"/>
        <v>ATRASO</v>
      </c>
      <c r="G11" s="2">
        <f t="shared" si="1"/>
        <v>1</v>
      </c>
      <c r="H11" s="2" t="s">
        <v>13</v>
      </c>
      <c r="I11" s="2" t="s">
        <v>10</v>
      </c>
    </row>
    <row r="12" spans="1:9" x14ac:dyDescent="0.3">
      <c r="A12" s="1" t="s">
        <v>27</v>
      </c>
      <c r="B12" s="4">
        <v>43191</v>
      </c>
      <c r="C12" s="4">
        <v>43212</v>
      </c>
      <c r="D12" s="4">
        <v>43213</v>
      </c>
      <c r="E12" s="5">
        <v>700</v>
      </c>
      <c r="F12" s="9" t="str">
        <f t="shared" si="0"/>
        <v>ATRASO</v>
      </c>
      <c r="G12" s="2">
        <f t="shared" si="1"/>
        <v>1</v>
      </c>
      <c r="H12" s="2" t="s">
        <v>12</v>
      </c>
      <c r="I12" s="2" t="s">
        <v>9</v>
      </c>
    </row>
    <row r="13" spans="1:9" x14ac:dyDescent="0.3">
      <c r="A13" s="1" t="s">
        <v>28</v>
      </c>
      <c r="B13" s="4">
        <v>43191</v>
      </c>
      <c r="C13" s="4">
        <v>43213</v>
      </c>
      <c r="D13" s="4">
        <v>43214</v>
      </c>
      <c r="E13" s="5">
        <v>733.37</v>
      </c>
      <c r="F13" s="9" t="str">
        <f t="shared" si="0"/>
        <v>ATRASO</v>
      </c>
      <c r="G13" s="2">
        <f t="shared" si="1"/>
        <v>1</v>
      </c>
      <c r="H13" s="2" t="s">
        <v>12</v>
      </c>
      <c r="I13" s="2" t="s">
        <v>9</v>
      </c>
    </row>
    <row r="14" spans="1:9" x14ac:dyDescent="0.3">
      <c r="A14" s="1" t="s">
        <v>29</v>
      </c>
      <c r="B14" s="4">
        <v>43193</v>
      </c>
      <c r="C14" s="4">
        <v>43221</v>
      </c>
      <c r="D14" s="2"/>
      <c r="E14" s="5"/>
      <c r="F14" s="9" t="str">
        <f t="shared" si="0"/>
        <v>NÃO CONSTA</v>
      </c>
      <c r="G14" s="2">
        <f t="shared" si="1"/>
        <v>0</v>
      </c>
      <c r="H14" s="2" t="s">
        <v>15</v>
      </c>
      <c r="I14" s="2" t="s">
        <v>11</v>
      </c>
    </row>
    <row r="15" spans="1:9" x14ac:dyDescent="0.3">
      <c r="A15" s="1" t="s">
        <v>30</v>
      </c>
      <c r="B15" s="4">
        <v>43193</v>
      </c>
      <c r="C15" s="4">
        <v>43221</v>
      </c>
      <c r="D15" s="4">
        <v>43222</v>
      </c>
      <c r="E15" s="5">
        <v>733.37</v>
      </c>
      <c r="F15" s="9" t="str">
        <f t="shared" si="0"/>
        <v>ATRASO</v>
      </c>
      <c r="G15" s="2">
        <f t="shared" si="1"/>
        <v>1</v>
      </c>
      <c r="H15" s="2" t="s">
        <v>15</v>
      </c>
      <c r="I15" s="2" t="s">
        <v>11</v>
      </c>
    </row>
    <row r="16" spans="1:9" x14ac:dyDescent="0.3">
      <c r="A16" s="1" t="s">
        <v>31</v>
      </c>
      <c r="B16" s="4">
        <v>43193</v>
      </c>
      <c r="C16" s="4">
        <v>43223</v>
      </c>
      <c r="D16" s="4">
        <v>43221</v>
      </c>
      <c r="E16" s="5">
        <v>765.44</v>
      </c>
      <c r="F16" s="9" t="str">
        <f t="shared" si="0"/>
        <v>PAGO</v>
      </c>
      <c r="G16" s="2">
        <f t="shared" si="1"/>
        <v>0</v>
      </c>
      <c r="H16" s="2" t="s">
        <v>13</v>
      </c>
      <c r="I16" s="2" t="s">
        <v>10</v>
      </c>
    </row>
    <row r="17" spans="1:9" x14ac:dyDescent="0.3">
      <c r="A17" s="1" t="s">
        <v>32</v>
      </c>
      <c r="B17" s="4">
        <v>43193</v>
      </c>
      <c r="C17" s="4">
        <v>43223</v>
      </c>
      <c r="D17" s="4">
        <v>43221</v>
      </c>
      <c r="E17" s="5">
        <v>765.44</v>
      </c>
      <c r="F17" s="9" t="str">
        <f t="shared" si="0"/>
        <v>PAGO</v>
      </c>
      <c r="G17" s="2">
        <f t="shared" si="1"/>
        <v>0</v>
      </c>
      <c r="H17" s="2" t="s">
        <v>12</v>
      </c>
      <c r="I17" s="2" t="s">
        <v>9</v>
      </c>
    </row>
    <row r="18" spans="1:9" x14ac:dyDescent="0.3">
      <c r="A18" s="1" t="s">
        <v>33</v>
      </c>
      <c r="B18" s="4">
        <v>43191</v>
      </c>
      <c r="C18" s="4">
        <v>43214</v>
      </c>
      <c r="D18" s="2"/>
      <c r="E18" s="5"/>
      <c r="F18" s="9" t="str">
        <f t="shared" si="0"/>
        <v>NÃO CONSTA</v>
      </c>
      <c r="G18" s="2">
        <f t="shared" si="1"/>
        <v>0</v>
      </c>
      <c r="H18" s="2" t="s">
        <v>12</v>
      </c>
      <c r="I18" s="2" t="s">
        <v>9</v>
      </c>
    </row>
    <row r="19" spans="1:9" x14ac:dyDescent="0.3">
      <c r="A19" s="1" t="s">
        <v>34</v>
      </c>
      <c r="B19" s="4">
        <v>43191</v>
      </c>
      <c r="C19" s="4">
        <v>43216</v>
      </c>
      <c r="D19" s="4">
        <v>43214</v>
      </c>
      <c r="E19" s="5">
        <v>800</v>
      </c>
      <c r="F19" s="9" t="str">
        <f t="shared" si="0"/>
        <v>PAGO</v>
      </c>
      <c r="G19" s="2">
        <f t="shared" si="1"/>
        <v>0</v>
      </c>
      <c r="H19" s="2" t="s">
        <v>14</v>
      </c>
      <c r="I19" s="2" t="s">
        <v>11</v>
      </c>
    </row>
    <row r="20" spans="1:9" x14ac:dyDescent="0.3">
      <c r="A20" s="1" t="s">
        <v>35</v>
      </c>
      <c r="B20" s="4">
        <v>43191</v>
      </c>
      <c r="C20" s="4">
        <v>43216</v>
      </c>
      <c r="D20" s="4">
        <v>43214</v>
      </c>
      <c r="E20" s="5">
        <v>800</v>
      </c>
      <c r="F20" s="9" t="str">
        <f t="shared" si="0"/>
        <v>PAGO</v>
      </c>
      <c r="G20" s="2">
        <f t="shared" si="1"/>
        <v>0</v>
      </c>
      <c r="H20" s="2" t="s">
        <v>14</v>
      </c>
      <c r="I20" s="2" t="s">
        <v>11</v>
      </c>
    </row>
    <row r="21" spans="1:9" x14ac:dyDescent="0.3">
      <c r="A21" s="1" t="s">
        <v>36</v>
      </c>
      <c r="B21" s="4">
        <v>43194</v>
      </c>
      <c r="C21" s="4">
        <v>43217</v>
      </c>
      <c r="D21" s="4">
        <v>43227</v>
      </c>
      <c r="E21" s="5">
        <v>815.3</v>
      </c>
      <c r="F21" s="9" t="str">
        <f t="shared" si="0"/>
        <v>ATRASO</v>
      </c>
      <c r="G21" s="2">
        <f t="shared" si="1"/>
        <v>10</v>
      </c>
      <c r="H21" s="2" t="s">
        <v>16</v>
      </c>
      <c r="I21" s="2" t="s">
        <v>9</v>
      </c>
    </row>
    <row r="22" spans="1:9" x14ac:dyDescent="0.3">
      <c r="A22" s="1" t="s">
        <v>37</v>
      </c>
      <c r="B22" s="4">
        <v>43194</v>
      </c>
      <c r="C22" s="4">
        <v>43217</v>
      </c>
      <c r="D22" s="2"/>
      <c r="E22" s="5"/>
      <c r="F22" s="9" t="str">
        <f t="shared" si="0"/>
        <v>NÃO CONSTA</v>
      </c>
      <c r="G22" s="2">
        <f t="shared" si="1"/>
        <v>0</v>
      </c>
      <c r="H22" s="2" t="s">
        <v>16</v>
      </c>
      <c r="I22" s="2" t="s">
        <v>9</v>
      </c>
    </row>
    <row r="23" spans="1:9" x14ac:dyDescent="0.3">
      <c r="A23" s="1" t="s">
        <v>38</v>
      </c>
      <c r="B23" s="4">
        <v>43191</v>
      </c>
      <c r="C23" s="4">
        <v>43217</v>
      </c>
      <c r="D23" s="4">
        <v>43227</v>
      </c>
      <c r="E23" s="5">
        <v>841.37</v>
      </c>
      <c r="F23" s="9" t="str">
        <f t="shared" si="0"/>
        <v>ATRASO</v>
      </c>
      <c r="G23" s="2">
        <f t="shared" si="1"/>
        <v>10</v>
      </c>
      <c r="H23" s="2" t="s">
        <v>14</v>
      </c>
      <c r="I23" s="2" t="s">
        <v>11</v>
      </c>
    </row>
    <row r="24" spans="1:9" x14ac:dyDescent="0.3">
      <c r="A24" s="1" t="s">
        <v>39</v>
      </c>
      <c r="B24" s="4">
        <v>43191</v>
      </c>
      <c r="C24" s="4">
        <v>43217</v>
      </c>
      <c r="D24" s="4">
        <v>43227</v>
      </c>
      <c r="E24" s="5">
        <v>841.37</v>
      </c>
      <c r="F24" s="9" t="str">
        <f t="shared" si="0"/>
        <v>ATRASO</v>
      </c>
      <c r="G24" s="2">
        <f t="shared" si="1"/>
        <v>10</v>
      </c>
      <c r="H24" s="2" t="s">
        <v>12</v>
      </c>
      <c r="I24" s="2" t="s">
        <v>9</v>
      </c>
    </row>
    <row r="25" spans="1:9" x14ac:dyDescent="0.3">
      <c r="A25" s="1" t="s">
        <v>40</v>
      </c>
      <c r="B25" s="4">
        <v>43193</v>
      </c>
      <c r="C25" s="4">
        <v>43214</v>
      </c>
      <c r="D25" s="4">
        <v>43224</v>
      </c>
      <c r="E25" s="5">
        <v>850</v>
      </c>
      <c r="F25" s="9" t="str">
        <f t="shared" si="0"/>
        <v>ATRASO</v>
      </c>
      <c r="G25" s="2">
        <f t="shared" si="1"/>
        <v>10</v>
      </c>
      <c r="H25" s="2" t="s">
        <v>13</v>
      </c>
      <c r="I25" s="2" t="s">
        <v>10</v>
      </c>
    </row>
    <row r="26" spans="1:9" x14ac:dyDescent="0.3">
      <c r="A26" s="1" t="s">
        <v>41</v>
      </c>
      <c r="B26" s="4">
        <v>43193</v>
      </c>
      <c r="C26" s="4">
        <v>43214</v>
      </c>
      <c r="D26" s="2"/>
      <c r="E26" s="5"/>
      <c r="F26" s="9" t="str">
        <f t="shared" si="0"/>
        <v>NÃO CONSTA</v>
      </c>
      <c r="G26" s="2">
        <f t="shared" si="1"/>
        <v>0</v>
      </c>
      <c r="H26" s="2" t="s">
        <v>13</v>
      </c>
      <c r="I26" s="2" t="s">
        <v>10</v>
      </c>
    </row>
    <row r="27" spans="1:9" x14ac:dyDescent="0.3">
      <c r="A27" s="1" t="s">
        <v>42</v>
      </c>
      <c r="B27" s="4">
        <v>43193</v>
      </c>
      <c r="C27" s="4">
        <v>43215</v>
      </c>
      <c r="D27" s="4">
        <v>43212</v>
      </c>
      <c r="E27" s="5">
        <v>931.39</v>
      </c>
      <c r="F27" s="9" t="str">
        <f t="shared" si="0"/>
        <v>PAGO</v>
      </c>
      <c r="G27" s="2">
        <f t="shared" si="1"/>
        <v>0</v>
      </c>
      <c r="H27" s="2" t="s">
        <v>13</v>
      </c>
      <c r="I27" s="2" t="s">
        <v>10</v>
      </c>
    </row>
    <row r="28" spans="1:9" x14ac:dyDescent="0.3">
      <c r="A28" s="1" t="s">
        <v>43</v>
      </c>
      <c r="B28" s="4">
        <v>43193</v>
      </c>
      <c r="C28" s="4">
        <v>43215</v>
      </c>
      <c r="D28" s="4">
        <v>43212</v>
      </c>
      <c r="E28" s="5">
        <v>931.39</v>
      </c>
      <c r="F28" s="9" t="str">
        <f t="shared" si="0"/>
        <v>PAGO</v>
      </c>
      <c r="G28" s="2">
        <f t="shared" si="1"/>
        <v>0</v>
      </c>
      <c r="H28" s="2" t="s">
        <v>13</v>
      </c>
      <c r="I28" s="2" t="s">
        <v>10</v>
      </c>
    </row>
    <row r="29" spans="1:9" x14ac:dyDescent="0.3">
      <c r="A29" s="1" t="s">
        <v>44</v>
      </c>
      <c r="B29" s="4">
        <v>43193</v>
      </c>
      <c r="C29" s="4">
        <v>43216</v>
      </c>
      <c r="D29" s="4">
        <v>43213</v>
      </c>
      <c r="E29" s="5">
        <v>966</v>
      </c>
      <c r="F29" s="9" t="str">
        <f t="shared" si="0"/>
        <v>PAGO</v>
      </c>
      <c r="G29" s="2">
        <f t="shared" si="1"/>
        <v>0</v>
      </c>
      <c r="H29" s="2" t="s">
        <v>13</v>
      </c>
      <c r="I29" s="2" t="s">
        <v>10</v>
      </c>
    </row>
    <row r="30" spans="1:9" x14ac:dyDescent="0.3">
      <c r="A30" s="1" t="s">
        <v>45</v>
      </c>
      <c r="B30" s="4">
        <v>43193</v>
      </c>
      <c r="C30" s="4">
        <v>43218</v>
      </c>
      <c r="D30" s="4">
        <v>43215</v>
      </c>
      <c r="E30" s="5">
        <v>985.5</v>
      </c>
      <c r="F30" s="9" t="str">
        <f t="shared" si="0"/>
        <v>PAGO</v>
      </c>
      <c r="G30" s="2">
        <f t="shared" si="1"/>
        <v>0</v>
      </c>
      <c r="H30" s="2" t="s">
        <v>13</v>
      </c>
      <c r="I30" s="2" t="s">
        <v>10</v>
      </c>
    </row>
    <row r="31" spans="1:9" x14ac:dyDescent="0.3">
      <c r="A31" s="1" t="s">
        <v>46</v>
      </c>
      <c r="B31" s="4">
        <v>43193</v>
      </c>
      <c r="C31" s="4">
        <v>43218</v>
      </c>
      <c r="D31" s="4"/>
      <c r="E31" s="5"/>
      <c r="F31" s="9" t="str">
        <f t="shared" si="0"/>
        <v>NÃO CONSTA</v>
      </c>
      <c r="G31" s="2">
        <f t="shared" si="1"/>
        <v>0</v>
      </c>
      <c r="H31" s="2" t="s">
        <v>12</v>
      </c>
      <c r="I31" s="2" t="s">
        <v>9</v>
      </c>
    </row>
    <row r="32" spans="1:9" x14ac:dyDescent="0.3">
      <c r="A32" s="1" t="s">
        <v>47</v>
      </c>
      <c r="B32" s="4">
        <v>43193</v>
      </c>
      <c r="C32" s="4">
        <v>43219</v>
      </c>
      <c r="D32" s="4">
        <v>43224</v>
      </c>
      <c r="E32" s="5">
        <v>1047.76</v>
      </c>
      <c r="F32" s="9" t="str">
        <f t="shared" si="0"/>
        <v>ATRASO</v>
      </c>
      <c r="G32" s="2">
        <f t="shared" si="1"/>
        <v>5</v>
      </c>
      <c r="H32" s="2" t="s">
        <v>13</v>
      </c>
      <c r="I32" s="2" t="s">
        <v>10</v>
      </c>
    </row>
    <row r="33" spans="1:9" x14ac:dyDescent="0.3">
      <c r="A33" s="1" t="s">
        <v>48</v>
      </c>
      <c r="B33" s="4">
        <v>43193</v>
      </c>
      <c r="C33" s="4">
        <v>43219</v>
      </c>
      <c r="D33" s="4">
        <v>43224</v>
      </c>
      <c r="E33" s="5">
        <v>1047.76</v>
      </c>
      <c r="F33" s="9" t="str">
        <f t="shared" si="0"/>
        <v>ATRASO</v>
      </c>
      <c r="G33" s="2">
        <f t="shared" si="1"/>
        <v>5</v>
      </c>
      <c r="H33" s="2" t="s">
        <v>13</v>
      </c>
      <c r="I33" s="2" t="s">
        <v>10</v>
      </c>
    </row>
    <row r="34" spans="1:9" x14ac:dyDescent="0.3">
      <c r="A34" s="1" t="s">
        <v>49</v>
      </c>
      <c r="B34" s="4">
        <v>43191</v>
      </c>
      <c r="C34" s="4">
        <v>43219</v>
      </c>
      <c r="D34" s="2"/>
      <c r="E34" s="5"/>
      <c r="F34" s="9" t="str">
        <f t="shared" si="0"/>
        <v>NÃO CONSTA</v>
      </c>
      <c r="G34" s="2">
        <f t="shared" si="1"/>
        <v>0</v>
      </c>
      <c r="H34" s="2" t="s">
        <v>14</v>
      </c>
      <c r="I34" s="2" t="s">
        <v>11</v>
      </c>
    </row>
    <row r="35" spans="1:9" x14ac:dyDescent="0.3">
      <c r="A35" s="1" t="s">
        <v>50</v>
      </c>
      <c r="B35" s="4">
        <v>43191</v>
      </c>
      <c r="C35" s="4">
        <v>43219</v>
      </c>
      <c r="D35" s="4">
        <v>43219</v>
      </c>
      <c r="E35" s="5">
        <v>1132</v>
      </c>
      <c r="F35" s="9" t="str">
        <f t="shared" si="0"/>
        <v>PAGO</v>
      </c>
      <c r="G35" s="2">
        <f t="shared" si="1"/>
        <v>0</v>
      </c>
      <c r="H35" s="2" t="s">
        <v>12</v>
      </c>
      <c r="I35" s="2" t="s">
        <v>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D695-52D1-48A5-99CD-9023713EAF57}">
  <dimension ref="A1:I39"/>
  <sheetViews>
    <sheetView topLeftCell="A27" workbookViewId="0">
      <selection activeCell="E51" sqref="E51"/>
    </sheetView>
  </sheetViews>
  <sheetFormatPr defaultRowHeight="14.4" x14ac:dyDescent="0.3"/>
  <cols>
    <col min="1" max="1" width="11.109375" bestFit="1" customWidth="1"/>
    <col min="2" max="2" width="10.6640625" bestFit="1" customWidth="1"/>
    <col min="3" max="3" width="13.33203125" bestFit="1" customWidth="1"/>
    <col min="4" max="4" width="12.88671875" bestFit="1" customWidth="1"/>
    <col min="5" max="5" width="13.33203125" bestFit="1" customWidth="1"/>
    <col min="6" max="6" width="18" bestFit="1" customWidth="1"/>
    <col min="7" max="7" width="12.6640625" bestFit="1" customWidth="1"/>
    <col min="8" max="9" width="14.44140625" bestFit="1" customWidth="1"/>
  </cols>
  <sheetData>
    <row r="1" spans="1:9" ht="15" thickBo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1" t="s">
        <v>5</v>
      </c>
      <c r="G1" s="11" t="s">
        <v>6</v>
      </c>
      <c r="H1" s="11" t="s">
        <v>7</v>
      </c>
      <c r="I1" s="11" t="s">
        <v>8</v>
      </c>
    </row>
    <row r="2" spans="1:9" ht="15" thickTop="1" x14ac:dyDescent="0.3">
      <c r="A2" s="7" t="s">
        <v>23</v>
      </c>
      <c r="B2" s="8">
        <v>43191</v>
      </c>
      <c r="C2" s="8">
        <v>43221</v>
      </c>
      <c r="D2" s="8">
        <v>43222</v>
      </c>
      <c r="E2" s="10">
        <v>611.82000000000005</v>
      </c>
      <c r="F2" s="9" t="str">
        <f t="shared" ref="F2:F13" si="0">_xlfn.IFS(D2="","NÃO CONSTA", D2&lt;=C2,"PAGO", D2&gt;C2,"ATRASO")</f>
        <v>ATRASO</v>
      </c>
      <c r="G2" s="9">
        <f t="shared" ref="G2:G13" si="1">IF(D2&lt;=C2,0,_xlfn.DAYS(D2,C2))</f>
        <v>1</v>
      </c>
      <c r="H2" s="9" t="s">
        <v>12</v>
      </c>
      <c r="I2" s="9" t="s">
        <v>9</v>
      </c>
    </row>
    <row r="3" spans="1:9" x14ac:dyDescent="0.3">
      <c r="A3" s="1" t="s">
        <v>25</v>
      </c>
      <c r="B3" s="4">
        <v>43193</v>
      </c>
      <c r="C3" s="4">
        <v>43219</v>
      </c>
      <c r="D3" s="4">
        <v>43220</v>
      </c>
      <c r="E3" s="5">
        <v>633.63</v>
      </c>
      <c r="F3" s="2" t="str">
        <f t="shared" si="0"/>
        <v>ATRASO</v>
      </c>
      <c r="G3" s="2">
        <f t="shared" si="1"/>
        <v>1</v>
      </c>
      <c r="H3" s="2" t="s">
        <v>13</v>
      </c>
      <c r="I3" s="2" t="s">
        <v>10</v>
      </c>
    </row>
    <row r="4" spans="1:9" x14ac:dyDescent="0.3">
      <c r="A4" s="1" t="s">
        <v>26</v>
      </c>
      <c r="B4" s="4">
        <v>43193</v>
      </c>
      <c r="C4" s="4">
        <v>43219</v>
      </c>
      <c r="D4" s="4">
        <v>43220</v>
      </c>
      <c r="E4" s="5">
        <v>633.63</v>
      </c>
      <c r="F4" s="2" t="str">
        <f t="shared" si="0"/>
        <v>ATRASO</v>
      </c>
      <c r="G4" s="2">
        <f t="shared" si="1"/>
        <v>1</v>
      </c>
      <c r="H4" s="2" t="s">
        <v>13</v>
      </c>
      <c r="I4" s="2" t="s">
        <v>10</v>
      </c>
    </row>
    <row r="5" spans="1:9" x14ac:dyDescent="0.3">
      <c r="A5" s="1" t="s">
        <v>27</v>
      </c>
      <c r="B5" s="4">
        <v>43191</v>
      </c>
      <c r="C5" s="4">
        <v>43212</v>
      </c>
      <c r="D5" s="4">
        <v>43213</v>
      </c>
      <c r="E5" s="5">
        <v>700</v>
      </c>
      <c r="F5" s="2" t="str">
        <f t="shared" si="0"/>
        <v>ATRASO</v>
      </c>
      <c r="G5" s="2">
        <f t="shared" si="1"/>
        <v>1</v>
      </c>
      <c r="H5" s="2" t="s">
        <v>12</v>
      </c>
      <c r="I5" s="2" t="s">
        <v>9</v>
      </c>
    </row>
    <row r="6" spans="1:9" x14ac:dyDescent="0.3">
      <c r="A6" s="1" t="s">
        <v>28</v>
      </c>
      <c r="B6" s="4">
        <v>43191</v>
      </c>
      <c r="C6" s="4">
        <v>43213</v>
      </c>
      <c r="D6" s="4">
        <v>43214</v>
      </c>
      <c r="E6" s="5">
        <v>733.37</v>
      </c>
      <c r="F6" s="2" t="str">
        <f t="shared" si="0"/>
        <v>ATRASO</v>
      </c>
      <c r="G6" s="2">
        <f t="shared" si="1"/>
        <v>1</v>
      </c>
      <c r="H6" s="2" t="s">
        <v>12</v>
      </c>
      <c r="I6" s="2" t="s">
        <v>9</v>
      </c>
    </row>
    <row r="7" spans="1:9" x14ac:dyDescent="0.3">
      <c r="A7" s="1" t="s">
        <v>30</v>
      </c>
      <c r="B7" s="4">
        <v>43193</v>
      </c>
      <c r="C7" s="4">
        <v>43221</v>
      </c>
      <c r="D7" s="4">
        <v>43222</v>
      </c>
      <c r="E7" s="5">
        <v>733.37</v>
      </c>
      <c r="F7" s="2" t="str">
        <f t="shared" si="0"/>
        <v>ATRASO</v>
      </c>
      <c r="G7" s="2">
        <f t="shared" si="1"/>
        <v>1</v>
      </c>
      <c r="H7" s="2" t="s">
        <v>15</v>
      </c>
      <c r="I7" s="2" t="s">
        <v>11</v>
      </c>
    </row>
    <row r="8" spans="1:9" x14ac:dyDescent="0.3">
      <c r="A8" s="1" t="s">
        <v>36</v>
      </c>
      <c r="B8" s="4">
        <v>43194</v>
      </c>
      <c r="C8" s="4">
        <v>43217</v>
      </c>
      <c r="D8" s="4">
        <v>43227</v>
      </c>
      <c r="E8" s="5">
        <v>815.3</v>
      </c>
      <c r="F8" s="2" t="str">
        <f t="shared" si="0"/>
        <v>ATRASO</v>
      </c>
      <c r="G8" s="2">
        <f t="shared" si="1"/>
        <v>10</v>
      </c>
      <c r="H8" s="2" t="s">
        <v>16</v>
      </c>
      <c r="I8" s="2" t="s">
        <v>9</v>
      </c>
    </row>
    <row r="9" spans="1:9" x14ac:dyDescent="0.3">
      <c r="A9" s="1" t="s">
        <v>38</v>
      </c>
      <c r="B9" s="4">
        <v>43191</v>
      </c>
      <c r="C9" s="4">
        <v>43217</v>
      </c>
      <c r="D9" s="4">
        <v>43227</v>
      </c>
      <c r="E9" s="5">
        <v>841.37</v>
      </c>
      <c r="F9" s="2" t="str">
        <f t="shared" si="0"/>
        <v>ATRASO</v>
      </c>
      <c r="G9" s="2">
        <f t="shared" si="1"/>
        <v>10</v>
      </c>
      <c r="H9" s="2" t="s">
        <v>14</v>
      </c>
      <c r="I9" s="2" t="s">
        <v>11</v>
      </c>
    </row>
    <row r="10" spans="1:9" x14ac:dyDescent="0.3">
      <c r="A10" s="1" t="s">
        <v>39</v>
      </c>
      <c r="B10" s="4">
        <v>43191</v>
      </c>
      <c r="C10" s="4">
        <v>43217</v>
      </c>
      <c r="D10" s="4">
        <v>43227</v>
      </c>
      <c r="E10" s="5">
        <v>841.37</v>
      </c>
      <c r="F10" s="2" t="str">
        <f t="shared" si="0"/>
        <v>ATRASO</v>
      </c>
      <c r="G10" s="2">
        <f t="shared" si="1"/>
        <v>10</v>
      </c>
      <c r="H10" s="2" t="s">
        <v>12</v>
      </c>
      <c r="I10" s="2" t="s">
        <v>9</v>
      </c>
    </row>
    <row r="11" spans="1:9" x14ac:dyDescent="0.3">
      <c r="A11" s="1" t="s">
        <v>40</v>
      </c>
      <c r="B11" s="4">
        <v>43193</v>
      </c>
      <c r="C11" s="4">
        <v>43214</v>
      </c>
      <c r="D11" s="4">
        <v>43224</v>
      </c>
      <c r="E11" s="5">
        <v>850</v>
      </c>
      <c r="F11" s="2" t="str">
        <f t="shared" si="0"/>
        <v>ATRASO</v>
      </c>
      <c r="G11" s="2">
        <f t="shared" si="1"/>
        <v>10</v>
      </c>
      <c r="H11" s="2" t="s">
        <v>13</v>
      </c>
      <c r="I11" s="2" t="s">
        <v>10</v>
      </c>
    </row>
    <row r="12" spans="1:9" x14ac:dyDescent="0.3">
      <c r="A12" s="1" t="s">
        <v>47</v>
      </c>
      <c r="B12" s="4">
        <v>43193</v>
      </c>
      <c r="C12" s="4">
        <v>43219</v>
      </c>
      <c r="D12" s="4">
        <v>43224</v>
      </c>
      <c r="E12" s="5">
        <v>1047.76</v>
      </c>
      <c r="F12" s="2" t="str">
        <f t="shared" si="0"/>
        <v>ATRASO</v>
      </c>
      <c r="G12" s="2">
        <f t="shared" si="1"/>
        <v>5</v>
      </c>
      <c r="H12" s="2" t="s">
        <v>13</v>
      </c>
      <c r="I12" s="2" t="s">
        <v>10</v>
      </c>
    </row>
    <row r="13" spans="1:9" x14ac:dyDescent="0.3">
      <c r="A13" s="1" t="s">
        <v>48</v>
      </c>
      <c r="B13" s="4">
        <v>43193</v>
      </c>
      <c r="C13" s="4">
        <v>43219</v>
      </c>
      <c r="D13" s="4">
        <v>43224</v>
      </c>
      <c r="E13" s="5">
        <v>1047.76</v>
      </c>
      <c r="F13" s="2" t="str">
        <f t="shared" si="0"/>
        <v>ATRASO</v>
      </c>
      <c r="G13" s="2">
        <f t="shared" si="1"/>
        <v>5</v>
      </c>
      <c r="H13" s="2" t="s">
        <v>13</v>
      </c>
      <c r="I13" s="2" t="s">
        <v>10</v>
      </c>
    </row>
    <row r="14" spans="1:9" x14ac:dyDescent="0.3">
      <c r="A14" s="15"/>
      <c r="B14" s="16"/>
      <c r="C14" s="16"/>
      <c r="D14" s="16"/>
      <c r="E14" s="17">
        <f>SUM(E2:E13)</f>
        <v>9489.3799999999992</v>
      </c>
      <c r="F14" s="18" t="s">
        <v>51</v>
      </c>
      <c r="G14" s="19"/>
      <c r="H14" s="19"/>
      <c r="I14" s="19"/>
    </row>
    <row r="15" spans="1:9" x14ac:dyDescent="0.3">
      <c r="A15" s="1" t="s">
        <v>17</v>
      </c>
      <c r="B15" s="4">
        <v>43191</v>
      </c>
      <c r="C15" s="4">
        <v>43217</v>
      </c>
      <c r="D15" s="2"/>
      <c r="E15" s="5"/>
      <c r="F15" s="2" t="str">
        <f t="shared" ref="F15:F22" si="2">_xlfn.IFS(D15="","NÃO CONSTA", D15&lt;=C15,"PAGO", D15&gt;C15,"ATRASO")</f>
        <v>NÃO CONSTA</v>
      </c>
      <c r="G15" s="2">
        <f t="shared" ref="G15:G22" si="3">IF(D15&lt;=C15,0,_xlfn.DAYS(D15,C15))</f>
        <v>0</v>
      </c>
      <c r="H15" s="2" t="s">
        <v>12</v>
      </c>
      <c r="I15" s="2" t="s">
        <v>9</v>
      </c>
    </row>
    <row r="16" spans="1:9" x14ac:dyDescent="0.3">
      <c r="A16" s="1" t="s">
        <v>24</v>
      </c>
      <c r="B16" s="4">
        <v>43191</v>
      </c>
      <c r="C16" s="4">
        <v>43221</v>
      </c>
      <c r="D16" s="2"/>
      <c r="E16" s="5"/>
      <c r="F16" s="2" t="str">
        <f t="shared" si="2"/>
        <v>NÃO CONSTA</v>
      </c>
      <c r="G16" s="2">
        <f t="shared" si="3"/>
        <v>0</v>
      </c>
      <c r="H16" s="2" t="s">
        <v>12</v>
      </c>
      <c r="I16" s="2" t="s">
        <v>9</v>
      </c>
    </row>
    <row r="17" spans="1:9" x14ac:dyDescent="0.3">
      <c r="A17" s="1" t="s">
        <v>29</v>
      </c>
      <c r="B17" s="4">
        <v>43193</v>
      </c>
      <c r="C17" s="4">
        <v>43221</v>
      </c>
      <c r="D17" s="2"/>
      <c r="E17" s="5"/>
      <c r="F17" s="2" t="str">
        <f t="shared" si="2"/>
        <v>NÃO CONSTA</v>
      </c>
      <c r="G17" s="2">
        <f t="shared" si="3"/>
        <v>0</v>
      </c>
      <c r="H17" s="2" t="s">
        <v>15</v>
      </c>
      <c r="I17" s="2" t="s">
        <v>11</v>
      </c>
    </row>
    <row r="18" spans="1:9" x14ac:dyDescent="0.3">
      <c r="A18" s="1" t="s">
        <v>33</v>
      </c>
      <c r="B18" s="4">
        <v>43191</v>
      </c>
      <c r="C18" s="4">
        <v>43214</v>
      </c>
      <c r="D18" s="2"/>
      <c r="E18" s="5"/>
      <c r="F18" s="2" t="str">
        <f t="shared" si="2"/>
        <v>NÃO CONSTA</v>
      </c>
      <c r="G18" s="2">
        <f t="shared" si="3"/>
        <v>0</v>
      </c>
      <c r="H18" s="2" t="s">
        <v>12</v>
      </c>
      <c r="I18" s="2" t="s">
        <v>9</v>
      </c>
    </row>
    <row r="19" spans="1:9" x14ac:dyDescent="0.3">
      <c r="A19" s="1" t="s">
        <v>37</v>
      </c>
      <c r="B19" s="4">
        <v>43194</v>
      </c>
      <c r="C19" s="4">
        <v>43217</v>
      </c>
      <c r="D19" s="2"/>
      <c r="E19" s="5"/>
      <c r="F19" s="2" t="str">
        <f t="shared" si="2"/>
        <v>NÃO CONSTA</v>
      </c>
      <c r="G19" s="2">
        <f t="shared" si="3"/>
        <v>0</v>
      </c>
      <c r="H19" s="2" t="s">
        <v>16</v>
      </c>
      <c r="I19" s="2" t="s">
        <v>9</v>
      </c>
    </row>
    <row r="20" spans="1:9" x14ac:dyDescent="0.3">
      <c r="A20" s="1" t="s">
        <v>41</v>
      </c>
      <c r="B20" s="4">
        <v>43193</v>
      </c>
      <c r="C20" s="4">
        <v>43214</v>
      </c>
      <c r="D20" s="2"/>
      <c r="E20" s="5"/>
      <c r="F20" s="2" t="str">
        <f t="shared" si="2"/>
        <v>NÃO CONSTA</v>
      </c>
      <c r="G20" s="2">
        <f t="shared" si="3"/>
        <v>0</v>
      </c>
      <c r="H20" s="2" t="s">
        <v>13</v>
      </c>
      <c r="I20" s="2" t="s">
        <v>10</v>
      </c>
    </row>
    <row r="21" spans="1:9" x14ac:dyDescent="0.3">
      <c r="A21" s="1" t="s">
        <v>46</v>
      </c>
      <c r="B21" s="4">
        <v>43193</v>
      </c>
      <c r="C21" s="4">
        <v>43218</v>
      </c>
      <c r="D21" s="4"/>
      <c r="E21" s="5"/>
      <c r="F21" s="2" t="str">
        <f t="shared" si="2"/>
        <v>NÃO CONSTA</v>
      </c>
      <c r="G21" s="2">
        <f t="shared" si="3"/>
        <v>0</v>
      </c>
      <c r="H21" s="2" t="s">
        <v>12</v>
      </c>
      <c r="I21" s="2" t="s">
        <v>9</v>
      </c>
    </row>
    <row r="22" spans="1:9" x14ac:dyDescent="0.3">
      <c r="A22" s="1" t="s">
        <v>49</v>
      </c>
      <c r="B22" s="4">
        <v>43191</v>
      </c>
      <c r="C22" s="4">
        <v>43219</v>
      </c>
      <c r="D22" s="2"/>
      <c r="E22" s="5"/>
      <c r="F22" s="2" t="str">
        <f t="shared" si="2"/>
        <v>NÃO CONSTA</v>
      </c>
      <c r="G22" s="2">
        <f t="shared" si="3"/>
        <v>0</v>
      </c>
      <c r="H22" s="2" t="s">
        <v>14</v>
      </c>
      <c r="I22" s="2" t="s">
        <v>11</v>
      </c>
    </row>
    <row r="23" spans="1:9" x14ac:dyDescent="0.3">
      <c r="A23" s="15"/>
      <c r="B23" s="16"/>
      <c r="C23" s="16"/>
      <c r="D23" s="19"/>
      <c r="E23" s="20">
        <v>0</v>
      </c>
      <c r="F23" s="18" t="s">
        <v>52</v>
      </c>
      <c r="G23" s="19"/>
      <c r="H23" s="19"/>
      <c r="I23" s="19"/>
    </row>
    <row r="24" spans="1:9" x14ac:dyDescent="0.3">
      <c r="A24" s="1" t="s">
        <v>18</v>
      </c>
      <c r="B24" s="4">
        <v>43191</v>
      </c>
      <c r="C24" s="4">
        <v>43217</v>
      </c>
      <c r="D24" s="4">
        <v>43217</v>
      </c>
      <c r="E24" s="5">
        <v>573.76</v>
      </c>
      <c r="F24" s="2" t="str">
        <f t="shared" ref="F24:F37" si="4">_xlfn.IFS(D24="","NÃO CONSTA", D24&lt;=C24,"PAGO", D24&gt;C24,"ATRASO")</f>
        <v>PAGO</v>
      </c>
      <c r="G24" s="2">
        <f t="shared" ref="G24:G37" si="5">IF(D24&lt;=C24,0,_xlfn.DAYS(D24,C24))</f>
        <v>0</v>
      </c>
      <c r="H24" s="2" t="s">
        <v>12</v>
      </c>
      <c r="I24" s="2" t="s">
        <v>9</v>
      </c>
    </row>
    <row r="25" spans="1:9" x14ac:dyDescent="0.3">
      <c r="A25" s="1" t="s">
        <v>19</v>
      </c>
      <c r="B25" s="4">
        <v>43193</v>
      </c>
      <c r="C25" s="4">
        <v>43218</v>
      </c>
      <c r="D25" s="4">
        <v>43218</v>
      </c>
      <c r="E25" s="5">
        <v>582.48</v>
      </c>
      <c r="F25" s="2" t="str">
        <f t="shared" si="4"/>
        <v>PAGO</v>
      </c>
      <c r="G25" s="2">
        <f t="shared" si="5"/>
        <v>0</v>
      </c>
      <c r="H25" s="2" t="s">
        <v>13</v>
      </c>
      <c r="I25" s="2" t="s">
        <v>10</v>
      </c>
    </row>
    <row r="26" spans="1:9" x14ac:dyDescent="0.3">
      <c r="A26" s="1" t="s">
        <v>20</v>
      </c>
      <c r="B26" s="4">
        <v>43193</v>
      </c>
      <c r="C26" s="4">
        <v>43218</v>
      </c>
      <c r="D26" s="4">
        <v>43218</v>
      </c>
      <c r="E26" s="5">
        <v>582.48</v>
      </c>
      <c r="F26" s="2" t="str">
        <f t="shared" si="4"/>
        <v>PAGO</v>
      </c>
      <c r="G26" s="2">
        <f t="shared" si="5"/>
        <v>0</v>
      </c>
      <c r="H26" s="2" t="s">
        <v>12</v>
      </c>
      <c r="I26" s="2" t="s">
        <v>9</v>
      </c>
    </row>
    <row r="27" spans="1:9" x14ac:dyDescent="0.3">
      <c r="A27" s="1" t="s">
        <v>21</v>
      </c>
      <c r="B27" s="4">
        <v>43191</v>
      </c>
      <c r="C27" s="4">
        <v>43219</v>
      </c>
      <c r="D27" s="4">
        <v>43219</v>
      </c>
      <c r="E27" s="5">
        <v>582.88</v>
      </c>
      <c r="F27" s="2" t="str">
        <f t="shared" si="4"/>
        <v>PAGO</v>
      </c>
      <c r="G27" s="2">
        <f t="shared" si="5"/>
        <v>0</v>
      </c>
      <c r="H27" s="2" t="s">
        <v>14</v>
      </c>
      <c r="I27" s="2" t="s">
        <v>11</v>
      </c>
    </row>
    <row r="28" spans="1:9" x14ac:dyDescent="0.3">
      <c r="A28" s="1" t="s">
        <v>22</v>
      </c>
      <c r="B28" s="4">
        <v>43191</v>
      </c>
      <c r="C28" s="4">
        <v>43219</v>
      </c>
      <c r="D28" s="4">
        <v>43219</v>
      </c>
      <c r="E28" s="5">
        <v>582.88</v>
      </c>
      <c r="F28" s="2" t="str">
        <f t="shared" si="4"/>
        <v>PAGO</v>
      </c>
      <c r="G28" s="2">
        <f t="shared" si="5"/>
        <v>0</v>
      </c>
      <c r="H28" s="2" t="s">
        <v>12</v>
      </c>
      <c r="I28" s="2" t="s">
        <v>9</v>
      </c>
    </row>
    <row r="29" spans="1:9" x14ac:dyDescent="0.3">
      <c r="A29" s="1" t="s">
        <v>31</v>
      </c>
      <c r="B29" s="4">
        <v>43193</v>
      </c>
      <c r="C29" s="4">
        <v>43223</v>
      </c>
      <c r="D29" s="4">
        <v>43221</v>
      </c>
      <c r="E29" s="5">
        <v>765.44</v>
      </c>
      <c r="F29" s="2" t="str">
        <f t="shared" si="4"/>
        <v>PAGO</v>
      </c>
      <c r="G29" s="2">
        <f t="shared" si="5"/>
        <v>0</v>
      </c>
      <c r="H29" s="2" t="s">
        <v>13</v>
      </c>
      <c r="I29" s="2" t="s">
        <v>10</v>
      </c>
    </row>
    <row r="30" spans="1:9" x14ac:dyDescent="0.3">
      <c r="A30" s="1" t="s">
        <v>32</v>
      </c>
      <c r="B30" s="4">
        <v>43193</v>
      </c>
      <c r="C30" s="4">
        <v>43223</v>
      </c>
      <c r="D30" s="4">
        <v>43221</v>
      </c>
      <c r="E30" s="5">
        <v>765.44</v>
      </c>
      <c r="F30" s="2" t="str">
        <f t="shared" si="4"/>
        <v>PAGO</v>
      </c>
      <c r="G30" s="2">
        <f t="shared" si="5"/>
        <v>0</v>
      </c>
      <c r="H30" s="2" t="s">
        <v>12</v>
      </c>
      <c r="I30" s="2" t="s">
        <v>9</v>
      </c>
    </row>
    <row r="31" spans="1:9" x14ac:dyDescent="0.3">
      <c r="A31" s="1" t="s">
        <v>34</v>
      </c>
      <c r="B31" s="4">
        <v>43191</v>
      </c>
      <c r="C31" s="4">
        <v>43216</v>
      </c>
      <c r="D31" s="4">
        <v>43214</v>
      </c>
      <c r="E31" s="5">
        <v>800</v>
      </c>
      <c r="F31" s="2" t="str">
        <f t="shared" si="4"/>
        <v>PAGO</v>
      </c>
      <c r="G31" s="2">
        <f t="shared" si="5"/>
        <v>0</v>
      </c>
      <c r="H31" s="2" t="s">
        <v>14</v>
      </c>
      <c r="I31" s="2" t="s">
        <v>11</v>
      </c>
    </row>
    <row r="32" spans="1:9" x14ac:dyDescent="0.3">
      <c r="A32" s="1" t="s">
        <v>35</v>
      </c>
      <c r="B32" s="4">
        <v>43191</v>
      </c>
      <c r="C32" s="4">
        <v>43216</v>
      </c>
      <c r="D32" s="4">
        <v>43214</v>
      </c>
      <c r="E32" s="5">
        <v>800</v>
      </c>
      <c r="F32" s="2" t="str">
        <f t="shared" si="4"/>
        <v>PAGO</v>
      </c>
      <c r="G32" s="2">
        <f t="shared" si="5"/>
        <v>0</v>
      </c>
      <c r="H32" s="2" t="s">
        <v>14</v>
      </c>
      <c r="I32" s="2" t="s">
        <v>11</v>
      </c>
    </row>
    <row r="33" spans="1:9" x14ac:dyDescent="0.3">
      <c r="A33" s="1" t="s">
        <v>42</v>
      </c>
      <c r="B33" s="4">
        <v>43193</v>
      </c>
      <c r="C33" s="4">
        <v>43215</v>
      </c>
      <c r="D33" s="4">
        <v>43212</v>
      </c>
      <c r="E33" s="5">
        <v>931.39</v>
      </c>
      <c r="F33" s="2" t="str">
        <f t="shared" si="4"/>
        <v>PAGO</v>
      </c>
      <c r="G33" s="2">
        <f t="shared" si="5"/>
        <v>0</v>
      </c>
      <c r="H33" s="2" t="s">
        <v>13</v>
      </c>
      <c r="I33" s="2" t="s">
        <v>10</v>
      </c>
    </row>
    <row r="34" spans="1:9" x14ac:dyDescent="0.3">
      <c r="A34" s="1" t="s">
        <v>43</v>
      </c>
      <c r="B34" s="4">
        <v>43193</v>
      </c>
      <c r="C34" s="4">
        <v>43215</v>
      </c>
      <c r="D34" s="4">
        <v>43212</v>
      </c>
      <c r="E34" s="5">
        <v>931.39</v>
      </c>
      <c r="F34" s="2" t="str">
        <f t="shared" si="4"/>
        <v>PAGO</v>
      </c>
      <c r="G34" s="2">
        <f t="shared" si="5"/>
        <v>0</v>
      </c>
      <c r="H34" s="2" t="s">
        <v>13</v>
      </c>
      <c r="I34" s="2" t="s">
        <v>10</v>
      </c>
    </row>
    <row r="35" spans="1:9" x14ac:dyDescent="0.3">
      <c r="A35" s="1" t="s">
        <v>44</v>
      </c>
      <c r="B35" s="4">
        <v>43193</v>
      </c>
      <c r="C35" s="4">
        <v>43216</v>
      </c>
      <c r="D35" s="4">
        <v>43213</v>
      </c>
      <c r="E35" s="5">
        <v>966</v>
      </c>
      <c r="F35" s="2" t="str">
        <f t="shared" si="4"/>
        <v>PAGO</v>
      </c>
      <c r="G35" s="2">
        <f t="shared" si="5"/>
        <v>0</v>
      </c>
      <c r="H35" s="2" t="s">
        <v>13</v>
      </c>
      <c r="I35" s="2" t="s">
        <v>10</v>
      </c>
    </row>
    <row r="36" spans="1:9" x14ac:dyDescent="0.3">
      <c r="A36" s="1" t="s">
        <v>45</v>
      </c>
      <c r="B36" s="4">
        <v>43193</v>
      </c>
      <c r="C36" s="4">
        <v>43218</v>
      </c>
      <c r="D36" s="4">
        <v>43215</v>
      </c>
      <c r="E36" s="5">
        <v>985.5</v>
      </c>
      <c r="F36" s="2" t="str">
        <f t="shared" si="4"/>
        <v>PAGO</v>
      </c>
      <c r="G36" s="2">
        <f t="shared" si="5"/>
        <v>0</v>
      </c>
      <c r="H36" s="2" t="s">
        <v>13</v>
      </c>
      <c r="I36" s="2" t="s">
        <v>10</v>
      </c>
    </row>
    <row r="37" spans="1:9" x14ac:dyDescent="0.3">
      <c r="A37" s="1" t="s">
        <v>50</v>
      </c>
      <c r="B37" s="4">
        <v>43191</v>
      </c>
      <c r="C37" s="4">
        <v>43219</v>
      </c>
      <c r="D37" s="4">
        <v>43219</v>
      </c>
      <c r="E37" s="5">
        <v>1132</v>
      </c>
      <c r="F37" s="2" t="str">
        <f t="shared" si="4"/>
        <v>PAGO</v>
      </c>
      <c r="G37" s="2">
        <f t="shared" si="5"/>
        <v>0</v>
      </c>
      <c r="H37" s="2" t="s">
        <v>12</v>
      </c>
      <c r="I37" s="2" t="s">
        <v>9</v>
      </c>
    </row>
    <row r="38" spans="1:9" x14ac:dyDescent="0.3">
      <c r="A38" s="15"/>
      <c r="B38" s="16"/>
      <c r="C38" s="16"/>
      <c r="D38" s="16"/>
      <c r="E38" s="17">
        <f>SUM(E24:E37)</f>
        <v>10981.640000000001</v>
      </c>
      <c r="F38" s="18" t="s">
        <v>53</v>
      </c>
      <c r="G38" s="19"/>
      <c r="H38" s="19"/>
      <c r="I38" s="19"/>
    </row>
    <row r="39" spans="1:9" x14ac:dyDescent="0.3">
      <c r="E39" s="14">
        <f>SUM(E24:E37,E2:E13)</f>
        <v>20471.019999999997</v>
      </c>
      <c r="F39" s="13" t="s">
        <v>54</v>
      </c>
    </row>
  </sheetData>
  <sortState xmlns:xlrd2="http://schemas.microsoft.com/office/spreadsheetml/2017/richdata2" ref="A2:I37">
    <sortCondition ref="F2"/>
  </sortState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DCD04-A9C2-4C72-B1B7-F86E7F9596CE}">
  <dimension ref="A3:L44"/>
  <sheetViews>
    <sheetView tabSelected="1" workbookViewId="0">
      <selection activeCell="J13" sqref="J13"/>
    </sheetView>
  </sheetViews>
  <sheetFormatPr defaultRowHeight="14.4" x14ac:dyDescent="0.3"/>
  <cols>
    <col min="1" max="1" width="15" bestFit="1" customWidth="1"/>
    <col min="2" max="2" width="10.5546875" bestFit="1" customWidth="1"/>
    <col min="3" max="3" width="12.6640625" bestFit="1" customWidth="1"/>
    <col min="4" max="4" width="12.21875" bestFit="1" customWidth="1"/>
    <col min="5" max="5" width="11.88671875" bestFit="1" customWidth="1"/>
    <col min="6" max="6" width="12" bestFit="1" customWidth="1"/>
    <col min="7" max="7" width="12.33203125" bestFit="1" customWidth="1"/>
    <col min="8" max="8" width="13.5546875" bestFit="1" customWidth="1"/>
    <col min="9" max="9" width="13.88671875" bestFit="1" customWidth="1"/>
    <col min="11" max="11" width="10.44140625" bestFit="1" customWidth="1"/>
  </cols>
  <sheetData>
    <row r="3" spans="1:12" x14ac:dyDescent="0.3">
      <c r="A3" t="s">
        <v>55</v>
      </c>
      <c r="K3" s="22" t="s">
        <v>57</v>
      </c>
      <c r="L3" s="22"/>
    </row>
    <row r="4" spans="1:12" ht="15" thickBot="1" x14ac:dyDescent="0.35">
      <c r="A4" s="21" t="s">
        <v>0</v>
      </c>
      <c r="B4" s="21" t="s">
        <v>1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1" t="s">
        <v>7</v>
      </c>
      <c r="I4" s="21" t="s">
        <v>8</v>
      </c>
      <c r="K4" s="24" t="s">
        <v>58</v>
      </c>
      <c r="L4" s="1"/>
    </row>
    <row r="5" spans="1:12" ht="15" thickTop="1" x14ac:dyDescent="0.3">
      <c r="K5" s="23" t="s">
        <v>59</v>
      </c>
      <c r="L5" s="1"/>
    </row>
    <row r="6" spans="1:12" x14ac:dyDescent="0.3">
      <c r="K6" s="23" t="s">
        <v>60</v>
      </c>
      <c r="L6" s="1"/>
    </row>
    <row r="7" spans="1:12" x14ac:dyDescent="0.3">
      <c r="K7" s="23" t="s">
        <v>61</v>
      </c>
      <c r="L7" s="1"/>
    </row>
    <row r="8" spans="1:12" x14ac:dyDescent="0.3">
      <c r="K8" s="23" t="s">
        <v>62</v>
      </c>
      <c r="L8" s="1"/>
    </row>
    <row r="9" spans="1:12" x14ac:dyDescent="0.3">
      <c r="A9" t="s">
        <v>56</v>
      </c>
    </row>
    <row r="10" spans="1:12" ht="15" thickBot="1" x14ac:dyDescent="0.35">
      <c r="A10" s="21" t="s">
        <v>0</v>
      </c>
      <c r="B10" s="21" t="s">
        <v>1</v>
      </c>
      <c r="C10" s="21" t="s">
        <v>2</v>
      </c>
      <c r="D10" s="21" t="s">
        <v>3</v>
      </c>
      <c r="E10" s="21" t="s">
        <v>4</v>
      </c>
      <c r="F10" s="21" t="s">
        <v>5</v>
      </c>
      <c r="G10" s="21" t="s">
        <v>6</v>
      </c>
      <c r="H10" s="21" t="s">
        <v>7</v>
      </c>
      <c r="I10" s="21" t="s">
        <v>8</v>
      </c>
    </row>
    <row r="11" spans="1:12" ht="15" thickTop="1" x14ac:dyDescent="0.3">
      <c r="A11" s="7" t="s">
        <v>17</v>
      </c>
      <c r="B11" s="8">
        <v>43191</v>
      </c>
      <c r="C11" s="8">
        <v>43217</v>
      </c>
      <c r="D11" s="9"/>
      <c r="E11" s="10"/>
      <c r="F11" s="9" t="str">
        <f>_xlfn.IFS(D11="","NÃO CONSTA", D11&lt;=C11,"PAGO", D11&gt;C11,"ATRASO")</f>
        <v>NÃO CONSTA</v>
      </c>
      <c r="G11" s="2">
        <f>IF(D11&lt;=C11,0,_xlfn.DAYS(D11,C11))</f>
        <v>0</v>
      </c>
      <c r="H11" s="9" t="s">
        <v>12</v>
      </c>
      <c r="I11" s="9" t="s">
        <v>9</v>
      </c>
    </row>
    <row r="12" spans="1:12" x14ac:dyDescent="0.3">
      <c r="A12" s="1" t="s">
        <v>18</v>
      </c>
      <c r="B12" s="4">
        <v>43191</v>
      </c>
      <c r="C12" s="4">
        <v>43217</v>
      </c>
      <c r="D12" s="4">
        <v>43217</v>
      </c>
      <c r="E12" s="5">
        <v>573.76</v>
      </c>
      <c r="F12" s="9" t="str">
        <f t="shared" ref="F12:F44" si="0">_xlfn.IFS(D12="","NÃO CONSTA", D12&lt;=C12,"PAGO", D12&gt;C12,"ATRASO")</f>
        <v>PAGO</v>
      </c>
      <c r="G12" s="2">
        <f>IF(D12&lt;=C12,0,_xlfn.DAYS(D12,C12))</f>
        <v>0</v>
      </c>
      <c r="H12" s="2" t="s">
        <v>12</v>
      </c>
      <c r="I12" s="2" t="s">
        <v>9</v>
      </c>
    </row>
    <row r="13" spans="1:12" x14ac:dyDescent="0.3">
      <c r="A13" s="1" t="s">
        <v>19</v>
      </c>
      <c r="B13" s="4">
        <v>43193</v>
      </c>
      <c r="C13" s="4">
        <v>43218</v>
      </c>
      <c r="D13" s="4">
        <v>43218</v>
      </c>
      <c r="E13" s="5">
        <v>582.48</v>
      </c>
      <c r="F13" s="9" t="str">
        <f t="shared" si="0"/>
        <v>PAGO</v>
      </c>
      <c r="G13" s="2">
        <f t="shared" ref="G13:G44" si="1">IF(D13&lt;=C13,0,_xlfn.DAYS(D13,C13))</f>
        <v>0</v>
      </c>
      <c r="H13" s="2" t="s">
        <v>13</v>
      </c>
      <c r="I13" s="2" t="s">
        <v>10</v>
      </c>
    </row>
    <row r="14" spans="1:12" x14ac:dyDescent="0.3">
      <c r="A14" s="1" t="s">
        <v>20</v>
      </c>
      <c r="B14" s="4">
        <v>43193</v>
      </c>
      <c r="C14" s="4">
        <v>43218</v>
      </c>
      <c r="D14" s="4">
        <v>43218</v>
      </c>
      <c r="E14" s="5">
        <v>582.48</v>
      </c>
      <c r="F14" s="9" t="str">
        <f t="shared" si="0"/>
        <v>PAGO</v>
      </c>
      <c r="G14" s="2">
        <f t="shared" si="1"/>
        <v>0</v>
      </c>
      <c r="H14" s="2" t="s">
        <v>12</v>
      </c>
      <c r="I14" s="2" t="s">
        <v>9</v>
      </c>
    </row>
    <row r="15" spans="1:12" x14ac:dyDescent="0.3">
      <c r="A15" s="1" t="s">
        <v>21</v>
      </c>
      <c r="B15" s="4">
        <v>43191</v>
      </c>
      <c r="C15" s="4">
        <v>43219</v>
      </c>
      <c r="D15" s="4">
        <v>43219</v>
      </c>
      <c r="E15" s="5">
        <v>582.88</v>
      </c>
      <c r="F15" s="9" t="str">
        <f t="shared" si="0"/>
        <v>PAGO</v>
      </c>
      <c r="G15" s="2">
        <f t="shared" si="1"/>
        <v>0</v>
      </c>
      <c r="H15" s="2" t="s">
        <v>14</v>
      </c>
      <c r="I15" s="2" t="s">
        <v>11</v>
      </c>
    </row>
    <row r="16" spans="1:12" x14ac:dyDescent="0.3">
      <c r="A16" s="1" t="s">
        <v>22</v>
      </c>
      <c r="B16" s="4">
        <v>43191</v>
      </c>
      <c r="C16" s="4">
        <v>43219</v>
      </c>
      <c r="D16" s="4">
        <v>43219</v>
      </c>
      <c r="E16" s="5">
        <v>582.88</v>
      </c>
      <c r="F16" s="9" t="str">
        <f t="shared" si="0"/>
        <v>PAGO</v>
      </c>
      <c r="G16" s="2">
        <f t="shared" si="1"/>
        <v>0</v>
      </c>
      <c r="H16" s="2" t="s">
        <v>12</v>
      </c>
      <c r="I16" s="2" t="s">
        <v>9</v>
      </c>
    </row>
    <row r="17" spans="1:9" x14ac:dyDescent="0.3">
      <c r="A17" s="1" t="s">
        <v>23</v>
      </c>
      <c r="B17" s="4">
        <v>43191</v>
      </c>
      <c r="C17" s="4">
        <v>43221</v>
      </c>
      <c r="D17" s="4">
        <v>43222</v>
      </c>
      <c r="E17" s="5">
        <v>611.82000000000005</v>
      </c>
      <c r="F17" s="9" t="str">
        <f t="shared" si="0"/>
        <v>ATRASO</v>
      </c>
      <c r="G17" s="2">
        <f t="shared" si="1"/>
        <v>1</v>
      </c>
      <c r="H17" s="2" t="s">
        <v>12</v>
      </c>
      <c r="I17" s="2" t="s">
        <v>9</v>
      </c>
    </row>
    <row r="18" spans="1:9" x14ac:dyDescent="0.3">
      <c r="A18" s="1" t="s">
        <v>24</v>
      </c>
      <c r="B18" s="4">
        <v>43191</v>
      </c>
      <c r="C18" s="4">
        <v>43221</v>
      </c>
      <c r="D18" s="2"/>
      <c r="E18" s="5"/>
      <c r="F18" s="9" t="str">
        <f t="shared" si="0"/>
        <v>NÃO CONSTA</v>
      </c>
      <c r="G18" s="2">
        <f t="shared" si="1"/>
        <v>0</v>
      </c>
      <c r="H18" s="2" t="s">
        <v>12</v>
      </c>
      <c r="I18" s="2" t="s">
        <v>9</v>
      </c>
    </row>
    <row r="19" spans="1:9" x14ac:dyDescent="0.3">
      <c r="A19" s="1" t="s">
        <v>25</v>
      </c>
      <c r="B19" s="4">
        <v>43193</v>
      </c>
      <c r="C19" s="4">
        <v>43219</v>
      </c>
      <c r="D19" s="4">
        <v>43220</v>
      </c>
      <c r="E19" s="5">
        <v>633.63</v>
      </c>
      <c r="F19" s="9" t="str">
        <f t="shared" si="0"/>
        <v>ATRASO</v>
      </c>
      <c r="G19" s="2">
        <f t="shared" si="1"/>
        <v>1</v>
      </c>
      <c r="H19" s="2" t="s">
        <v>13</v>
      </c>
      <c r="I19" s="2" t="s">
        <v>10</v>
      </c>
    </row>
    <row r="20" spans="1:9" x14ac:dyDescent="0.3">
      <c r="A20" s="1" t="s">
        <v>26</v>
      </c>
      <c r="B20" s="4">
        <v>43193</v>
      </c>
      <c r="C20" s="4">
        <v>43219</v>
      </c>
      <c r="D20" s="4">
        <v>43220</v>
      </c>
      <c r="E20" s="5">
        <v>633.63</v>
      </c>
      <c r="F20" s="9" t="str">
        <f t="shared" si="0"/>
        <v>ATRASO</v>
      </c>
      <c r="G20" s="2">
        <f t="shared" si="1"/>
        <v>1</v>
      </c>
      <c r="H20" s="2" t="s">
        <v>13</v>
      </c>
      <c r="I20" s="2" t="s">
        <v>10</v>
      </c>
    </row>
    <row r="21" spans="1:9" x14ac:dyDescent="0.3">
      <c r="A21" s="1" t="s">
        <v>27</v>
      </c>
      <c r="B21" s="4">
        <v>43191</v>
      </c>
      <c r="C21" s="4">
        <v>43212</v>
      </c>
      <c r="D21" s="4">
        <v>43213</v>
      </c>
      <c r="E21" s="5">
        <v>700</v>
      </c>
      <c r="F21" s="9" t="str">
        <f t="shared" si="0"/>
        <v>ATRASO</v>
      </c>
      <c r="G21" s="2">
        <f t="shared" si="1"/>
        <v>1</v>
      </c>
      <c r="H21" s="2" t="s">
        <v>12</v>
      </c>
      <c r="I21" s="2" t="s">
        <v>9</v>
      </c>
    </row>
    <row r="22" spans="1:9" x14ac:dyDescent="0.3">
      <c r="A22" s="1" t="s">
        <v>28</v>
      </c>
      <c r="B22" s="4">
        <v>43191</v>
      </c>
      <c r="C22" s="4">
        <v>43213</v>
      </c>
      <c r="D22" s="4">
        <v>43214</v>
      </c>
      <c r="E22" s="5">
        <v>733.37</v>
      </c>
      <c r="F22" s="9" t="str">
        <f t="shared" si="0"/>
        <v>ATRASO</v>
      </c>
      <c r="G22" s="2">
        <f t="shared" si="1"/>
        <v>1</v>
      </c>
      <c r="H22" s="2" t="s">
        <v>12</v>
      </c>
      <c r="I22" s="2" t="s">
        <v>9</v>
      </c>
    </row>
    <row r="23" spans="1:9" x14ac:dyDescent="0.3">
      <c r="A23" s="1" t="s">
        <v>29</v>
      </c>
      <c r="B23" s="4">
        <v>43193</v>
      </c>
      <c r="C23" s="4">
        <v>43221</v>
      </c>
      <c r="D23" s="2"/>
      <c r="E23" s="5"/>
      <c r="F23" s="9" t="str">
        <f t="shared" si="0"/>
        <v>NÃO CONSTA</v>
      </c>
      <c r="G23" s="2">
        <f t="shared" si="1"/>
        <v>0</v>
      </c>
      <c r="H23" s="2" t="s">
        <v>15</v>
      </c>
      <c r="I23" s="2" t="s">
        <v>11</v>
      </c>
    </row>
    <row r="24" spans="1:9" x14ac:dyDescent="0.3">
      <c r="A24" s="1" t="s">
        <v>30</v>
      </c>
      <c r="B24" s="4">
        <v>43193</v>
      </c>
      <c r="C24" s="4">
        <v>43221</v>
      </c>
      <c r="D24" s="4">
        <v>43222</v>
      </c>
      <c r="E24" s="5">
        <v>733.37</v>
      </c>
      <c r="F24" s="9" t="str">
        <f t="shared" si="0"/>
        <v>ATRASO</v>
      </c>
      <c r="G24" s="2">
        <f t="shared" si="1"/>
        <v>1</v>
      </c>
      <c r="H24" s="2" t="s">
        <v>15</v>
      </c>
      <c r="I24" s="2" t="s">
        <v>11</v>
      </c>
    </row>
    <row r="25" spans="1:9" x14ac:dyDescent="0.3">
      <c r="A25" s="1" t="s">
        <v>31</v>
      </c>
      <c r="B25" s="4">
        <v>43193</v>
      </c>
      <c r="C25" s="4">
        <v>43223</v>
      </c>
      <c r="D25" s="4">
        <v>43221</v>
      </c>
      <c r="E25" s="5">
        <v>765.44</v>
      </c>
      <c r="F25" s="9" t="str">
        <f t="shared" si="0"/>
        <v>PAGO</v>
      </c>
      <c r="G25" s="2">
        <f t="shared" si="1"/>
        <v>0</v>
      </c>
      <c r="H25" s="2" t="s">
        <v>13</v>
      </c>
      <c r="I25" s="2" t="s">
        <v>10</v>
      </c>
    </row>
    <row r="26" spans="1:9" x14ac:dyDescent="0.3">
      <c r="A26" s="1" t="s">
        <v>32</v>
      </c>
      <c r="B26" s="4">
        <v>43193</v>
      </c>
      <c r="C26" s="4">
        <v>43223</v>
      </c>
      <c r="D26" s="4">
        <v>43221</v>
      </c>
      <c r="E26" s="5">
        <v>765.44</v>
      </c>
      <c r="F26" s="9" t="str">
        <f t="shared" si="0"/>
        <v>PAGO</v>
      </c>
      <c r="G26" s="2">
        <f t="shared" si="1"/>
        <v>0</v>
      </c>
      <c r="H26" s="2" t="s">
        <v>12</v>
      </c>
      <c r="I26" s="2" t="s">
        <v>9</v>
      </c>
    </row>
    <row r="27" spans="1:9" x14ac:dyDescent="0.3">
      <c r="A27" s="1" t="s">
        <v>33</v>
      </c>
      <c r="B27" s="4">
        <v>43191</v>
      </c>
      <c r="C27" s="4">
        <v>43214</v>
      </c>
      <c r="D27" s="2"/>
      <c r="E27" s="5"/>
      <c r="F27" s="9" t="str">
        <f t="shared" si="0"/>
        <v>NÃO CONSTA</v>
      </c>
      <c r="G27" s="2">
        <f t="shared" si="1"/>
        <v>0</v>
      </c>
      <c r="H27" s="2" t="s">
        <v>12</v>
      </c>
      <c r="I27" s="2" t="s">
        <v>9</v>
      </c>
    </row>
    <row r="28" spans="1:9" x14ac:dyDescent="0.3">
      <c r="A28" s="1" t="s">
        <v>34</v>
      </c>
      <c r="B28" s="4">
        <v>43191</v>
      </c>
      <c r="C28" s="4">
        <v>43216</v>
      </c>
      <c r="D28" s="4">
        <v>43214</v>
      </c>
      <c r="E28" s="5">
        <v>800</v>
      </c>
      <c r="F28" s="9" t="str">
        <f t="shared" si="0"/>
        <v>PAGO</v>
      </c>
      <c r="G28" s="2">
        <f t="shared" si="1"/>
        <v>0</v>
      </c>
      <c r="H28" s="2" t="s">
        <v>14</v>
      </c>
      <c r="I28" s="2" t="s">
        <v>11</v>
      </c>
    </row>
    <row r="29" spans="1:9" x14ac:dyDescent="0.3">
      <c r="A29" s="1" t="s">
        <v>35</v>
      </c>
      <c r="B29" s="4">
        <v>43191</v>
      </c>
      <c r="C29" s="4">
        <v>43216</v>
      </c>
      <c r="D29" s="4">
        <v>43214</v>
      </c>
      <c r="E29" s="5">
        <v>800</v>
      </c>
      <c r="F29" s="9" t="str">
        <f t="shared" si="0"/>
        <v>PAGO</v>
      </c>
      <c r="G29" s="2">
        <f t="shared" si="1"/>
        <v>0</v>
      </c>
      <c r="H29" s="2" t="s">
        <v>14</v>
      </c>
      <c r="I29" s="2" t="s">
        <v>11</v>
      </c>
    </row>
    <row r="30" spans="1:9" x14ac:dyDescent="0.3">
      <c r="A30" s="1" t="s">
        <v>36</v>
      </c>
      <c r="B30" s="4">
        <v>43194</v>
      </c>
      <c r="C30" s="4">
        <v>43217</v>
      </c>
      <c r="D30" s="4">
        <v>43227</v>
      </c>
      <c r="E30" s="5">
        <v>815.3</v>
      </c>
      <c r="F30" s="9" t="str">
        <f t="shared" si="0"/>
        <v>ATRASO</v>
      </c>
      <c r="G30" s="2">
        <f t="shared" si="1"/>
        <v>10</v>
      </c>
      <c r="H30" s="2" t="s">
        <v>16</v>
      </c>
      <c r="I30" s="2" t="s">
        <v>9</v>
      </c>
    </row>
    <row r="31" spans="1:9" x14ac:dyDescent="0.3">
      <c r="A31" s="1" t="s">
        <v>37</v>
      </c>
      <c r="B31" s="4">
        <v>43194</v>
      </c>
      <c r="C31" s="4">
        <v>43217</v>
      </c>
      <c r="D31" s="2"/>
      <c r="E31" s="5"/>
      <c r="F31" s="9" t="str">
        <f t="shared" si="0"/>
        <v>NÃO CONSTA</v>
      </c>
      <c r="G31" s="2">
        <f t="shared" si="1"/>
        <v>0</v>
      </c>
      <c r="H31" s="2" t="s">
        <v>16</v>
      </c>
      <c r="I31" s="2" t="s">
        <v>9</v>
      </c>
    </row>
    <row r="32" spans="1:9" x14ac:dyDescent="0.3">
      <c r="A32" s="1" t="s">
        <v>38</v>
      </c>
      <c r="B32" s="4">
        <v>43191</v>
      </c>
      <c r="C32" s="4">
        <v>43217</v>
      </c>
      <c r="D32" s="4">
        <v>43227</v>
      </c>
      <c r="E32" s="5">
        <v>841.37</v>
      </c>
      <c r="F32" s="9" t="str">
        <f t="shared" si="0"/>
        <v>ATRASO</v>
      </c>
      <c r="G32" s="2">
        <f t="shared" si="1"/>
        <v>10</v>
      </c>
      <c r="H32" s="2" t="s">
        <v>14</v>
      </c>
      <c r="I32" s="2" t="s">
        <v>11</v>
      </c>
    </row>
    <row r="33" spans="1:9" x14ac:dyDescent="0.3">
      <c r="A33" s="1" t="s">
        <v>39</v>
      </c>
      <c r="B33" s="4">
        <v>43191</v>
      </c>
      <c r="C33" s="4">
        <v>43217</v>
      </c>
      <c r="D33" s="4">
        <v>43227</v>
      </c>
      <c r="E33" s="5">
        <v>841.37</v>
      </c>
      <c r="F33" s="9" t="str">
        <f t="shared" si="0"/>
        <v>ATRASO</v>
      </c>
      <c r="G33" s="2">
        <f t="shared" si="1"/>
        <v>10</v>
      </c>
      <c r="H33" s="2" t="s">
        <v>12</v>
      </c>
      <c r="I33" s="2" t="s">
        <v>9</v>
      </c>
    </row>
    <row r="34" spans="1:9" x14ac:dyDescent="0.3">
      <c r="A34" s="1" t="s">
        <v>40</v>
      </c>
      <c r="B34" s="4">
        <v>43193</v>
      </c>
      <c r="C34" s="4">
        <v>43214</v>
      </c>
      <c r="D34" s="4">
        <v>43224</v>
      </c>
      <c r="E34" s="5">
        <v>850</v>
      </c>
      <c r="F34" s="9" t="str">
        <f t="shared" si="0"/>
        <v>ATRASO</v>
      </c>
      <c r="G34" s="2">
        <f t="shared" si="1"/>
        <v>10</v>
      </c>
      <c r="H34" s="2" t="s">
        <v>13</v>
      </c>
      <c r="I34" s="2" t="s">
        <v>10</v>
      </c>
    </row>
    <row r="35" spans="1:9" x14ac:dyDescent="0.3">
      <c r="A35" s="1" t="s">
        <v>41</v>
      </c>
      <c r="B35" s="4">
        <v>43193</v>
      </c>
      <c r="C35" s="4">
        <v>43214</v>
      </c>
      <c r="D35" s="2"/>
      <c r="E35" s="5"/>
      <c r="F35" s="9" t="str">
        <f t="shared" si="0"/>
        <v>NÃO CONSTA</v>
      </c>
      <c r="G35" s="2">
        <f t="shared" si="1"/>
        <v>0</v>
      </c>
      <c r="H35" s="2" t="s">
        <v>13</v>
      </c>
      <c r="I35" s="2" t="s">
        <v>10</v>
      </c>
    </row>
    <row r="36" spans="1:9" x14ac:dyDescent="0.3">
      <c r="A36" s="1" t="s">
        <v>42</v>
      </c>
      <c r="B36" s="4">
        <v>43193</v>
      </c>
      <c r="C36" s="4">
        <v>43215</v>
      </c>
      <c r="D36" s="4">
        <v>43212</v>
      </c>
      <c r="E36" s="5">
        <v>931.39</v>
      </c>
      <c r="F36" s="9" t="str">
        <f t="shared" si="0"/>
        <v>PAGO</v>
      </c>
      <c r="G36" s="2">
        <f t="shared" si="1"/>
        <v>0</v>
      </c>
      <c r="H36" s="2" t="s">
        <v>13</v>
      </c>
      <c r="I36" s="2" t="s">
        <v>10</v>
      </c>
    </row>
    <row r="37" spans="1:9" x14ac:dyDescent="0.3">
      <c r="A37" s="1" t="s">
        <v>43</v>
      </c>
      <c r="B37" s="4">
        <v>43193</v>
      </c>
      <c r="C37" s="4">
        <v>43215</v>
      </c>
      <c r="D37" s="4">
        <v>43212</v>
      </c>
      <c r="E37" s="5">
        <v>931.39</v>
      </c>
      <c r="F37" s="9" t="str">
        <f t="shared" si="0"/>
        <v>PAGO</v>
      </c>
      <c r="G37" s="2">
        <f t="shared" si="1"/>
        <v>0</v>
      </c>
      <c r="H37" s="2" t="s">
        <v>13</v>
      </c>
      <c r="I37" s="2" t="s">
        <v>10</v>
      </c>
    </row>
    <row r="38" spans="1:9" x14ac:dyDescent="0.3">
      <c r="A38" s="1" t="s">
        <v>44</v>
      </c>
      <c r="B38" s="4">
        <v>43193</v>
      </c>
      <c r="C38" s="4">
        <v>43216</v>
      </c>
      <c r="D38" s="4">
        <v>43213</v>
      </c>
      <c r="E38" s="5">
        <v>966</v>
      </c>
      <c r="F38" s="9" t="str">
        <f t="shared" si="0"/>
        <v>PAGO</v>
      </c>
      <c r="G38" s="2">
        <f t="shared" si="1"/>
        <v>0</v>
      </c>
      <c r="H38" s="2" t="s">
        <v>13</v>
      </c>
      <c r="I38" s="2" t="s">
        <v>10</v>
      </c>
    </row>
    <row r="39" spans="1:9" x14ac:dyDescent="0.3">
      <c r="A39" s="1" t="s">
        <v>45</v>
      </c>
      <c r="B39" s="4">
        <v>43193</v>
      </c>
      <c r="C39" s="4">
        <v>43218</v>
      </c>
      <c r="D39" s="4">
        <v>43215</v>
      </c>
      <c r="E39" s="5">
        <v>985.5</v>
      </c>
      <c r="F39" s="9" t="str">
        <f t="shared" si="0"/>
        <v>PAGO</v>
      </c>
      <c r="G39" s="2">
        <f t="shared" si="1"/>
        <v>0</v>
      </c>
      <c r="H39" s="2" t="s">
        <v>13</v>
      </c>
      <c r="I39" s="2" t="s">
        <v>10</v>
      </c>
    </row>
    <row r="40" spans="1:9" x14ac:dyDescent="0.3">
      <c r="A40" s="1" t="s">
        <v>46</v>
      </c>
      <c r="B40" s="4">
        <v>43193</v>
      </c>
      <c r="C40" s="4">
        <v>43218</v>
      </c>
      <c r="D40" s="4"/>
      <c r="E40" s="5"/>
      <c r="F40" s="9" t="str">
        <f t="shared" si="0"/>
        <v>NÃO CONSTA</v>
      </c>
      <c r="G40" s="2">
        <f t="shared" si="1"/>
        <v>0</v>
      </c>
      <c r="H40" s="2" t="s">
        <v>12</v>
      </c>
      <c r="I40" s="2" t="s">
        <v>9</v>
      </c>
    </row>
    <row r="41" spans="1:9" x14ac:dyDescent="0.3">
      <c r="A41" s="1" t="s">
        <v>47</v>
      </c>
      <c r="B41" s="4">
        <v>43193</v>
      </c>
      <c r="C41" s="4">
        <v>43219</v>
      </c>
      <c r="D41" s="4">
        <v>43224</v>
      </c>
      <c r="E41" s="5">
        <v>1047.76</v>
      </c>
      <c r="F41" s="9" t="str">
        <f t="shared" si="0"/>
        <v>ATRASO</v>
      </c>
      <c r="G41" s="2">
        <f t="shared" si="1"/>
        <v>5</v>
      </c>
      <c r="H41" s="2" t="s">
        <v>13</v>
      </c>
      <c r="I41" s="2" t="s">
        <v>10</v>
      </c>
    </row>
    <row r="42" spans="1:9" x14ac:dyDescent="0.3">
      <c r="A42" s="1" t="s">
        <v>48</v>
      </c>
      <c r="B42" s="4">
        <v>43193</v>
      </c>
      <c r="C42" s="4">
        <v>43219</v>
      </c>
      <c r="D42" s="4">
        <v>43224</v>
      </c>
      <c r="E42" s="5">
        <v>1047.76</v>
      </c>
      <c r="F42" s="9" t="str">
        <f t="shared" si="0"/>
        <v>ATRASO</v>
      </c>
      <c r="G42" s="2">
        <f t="shared" si="1"/>
        <v>5</v>
      </c>
      <c r="H42" s="2" t="s">
        <v>13</v>
      </c>
      <c r="I42" s="2" t="s">
        <v>10</v>
      </c>
    </row>
    <row r="43" spans="1:9" x14ac:dyDescent="0.3">
      <c r="A43" s="1" t="s">
        <v>49</v>
      </c>
      <c r="B43" s="4">
        <v>43191</v>
      </c>
      <c r="C43" s="4">
        <v>43219</v>
      </c>
      <c r="D43" s="2"/>
      <c r="E43" s="5"/>
      <c r="F43" s="9" t="str">
        <f t="shared" si="0"/>
        <v>NÃO CONSTA</v>
      </c>
      <c r="G43" s="2">
        <f t="shared" si="1"/>
        <v>0</v>
      </c>
      <c r="H43" s="2" t="s">
        <v>14</v>
      </c>
      <c r="I43" s="2" t="s">
        <v>11</v>
      </c>
    </row>
    <row r="44" spans="1:9" x14ac:dyDescent="0.3">
      <c r="A44" s="1" t="s">
        <v>50</v>
      </c>
      <c r="B44" s="4">
        <v>43191</v>
      </c>
      <c r="C44" s="4">
        <v>43219</v>
      </c>
      <c r="D44" s="4">
        <v>43219</v>
      </c>
      <c r="E44" s="5">
        <v>1132</v>
      </c>
      <c r="F44" s="9" t="str">
        <f t="shared" si="0"/>
        <v>PAGO</v>
      </c>
      <c r="G44" s="2">
        <f t="shared" si="1"/>
        <v>0</v>
      </c>
      <c r="H44" s="2" t="s">
        <v>12</v>
      </c>
      <c r="I44" s="2" t="s">
        <v>9</v>
      </c>
    </row>
  </sheetData>
  <mergeCells count="1">
    <mergeCell ref="K3:L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de Dados</vt:lpstr>
      <vt:lpstr>Subtotal</vt:lpstr>
      <vt:lpstr>Filtro avançado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Luiz Henrique Vidal Araújo</cp:lastModifiedBy>
  <dcterms:created xsi:type="dcterms:W3CDTF">2015-06-05T18:19:34Z</dcterms:created>
  <dcterms:modified xsi:type="dcterms:W3CDTF">2026-03-12T20:06:08Z</dcterms:modified>
</cp:coreProperties>
</file>