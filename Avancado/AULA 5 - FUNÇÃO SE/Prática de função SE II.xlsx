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AULA 5 - FUNÇÃO SE\"/>
    </mc:Choice>
  </mc:AlternateContent>
  <xr:revisionPtr revIDLastSave="0" documentId="13_ncr:1_{D81D2BDD-F675-4DD3-8FE7-B84DACC238A1}" xr6:coauthVersionLast="36" xr6:coauthVersionMax="36" xr10:uidLastSave="{00000000-0000-0000-0000-000000000000}"/>
  <bookViews>
    <workbookView xWindow="0" yWindow="0" windowWidth="28800" windowHeight="12105" activeTab="5" xr2:uid="{00000000-000D-0000-FFFF-FFFF00000000}"/>
  </bookViews>
  <sheets>
    <sheet name="01" sheetId="3" r:id="rId1"/>
    <sheet name="02" sheetId="4" r:id="rId2"/>
    <sheet name="03" sheetId="21" r:id="rId3"/>
    <sheet name="04" sheetId="20" r:id="rId4"/>
    <sheet name="05" sheetId="19" r:id="rId5"/>
    <sheet name="06" sheetId="22" r:id="rId6"/>
  </sheets>
  <definedNames>
    <definedName name="gjnk11">'06'!$I$15</definedName>
  </definedNames>
  <calcPr calcId="179021"/>
</workbook>
</file>

<file path=xl/calcChain.xml><?xml version="1.0" encoding="utf-8"?>
<calcChain xmlns="http://schemas.openxmlformats.org/spreadsheetml/2006/main">
  <c r="D4" i="22" l="1"/>
  <c r="D5" i="22"/>
  <c r="D6" i="22"/>
  <c r="D7" i="22"/>
  <c r="D8" i="22"/>
  <c r="D9" i="22"/>
  <c r="D10" i="22"/>
  <c r="D11" i="22"/>
  <c r="D3" i="22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3" i="19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3" i="20"/>
  <c r="C4" i="21"/>
  <c r="C5" i="21"/>
  <c r="C6" i="21"/>
  <c r="C7" i="21"/>
  <c r="C8" i="21"/>
  <c r="C9" i="21"/>
  <c r="C10" i="21"/>
  <c r="C11" i="21"/>
  <c r="C3" i="2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3" i="4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4" i="3"/>
</calcChain>
</file>

<file path=xl/sharedStrings.xml><?xml version="1.0" encoding="utf-8"?>
<sst xmlns="http://schemas.openxmlformats.org/spreadsheetml/2006/main" count="103" uniqueCount="58">
  <si>
    <t>Carlos Pereira</t>
  </si>
  <si>
    <t>Denise Cabral</t>
  </si>
  <si>
    <t>João Ângelo</t>
  </si>
  <si>
    <t>Kelly Moreno</t>
  </si>
  <si>
    <t>Silvio Nogueira</t>
  </si>
  <si>
    <t>Baltazar Novaes</t>
  </si>
  <si>
    <t>Camilo Geneva</t>
  </si>
  <si>
    <t>Thiago Campos</t>
  </si>
  <si>
    <t>Mauro César</t>
  </si>
  <si>
    <t>Pedro Fradique</t>
  </si>
  <si>
    <t>João Paulo</t>
  </si>
  <si>
    <t>Henrique da Silva</t>
  </si>
  <si>
    <t>Mariana Coelho</t>
  </si>
  <si>
    <t>Marcos da Vila</t>
  </si>
  <si>
    <t>Tadeu Villaça</t>
  </si>
  <si>
    <t>Carlos</t>
  </si>
  <si>
    <t>Pedro</t>
  </si>
  <si>
    <t>Jefferson</t>
  </si>
  <si>
    <t>João</t>
  </si>
  <si>
    <t>Eduardo</t>
  </si>
  <si>
    <t>Marcos</t>
  </si>
  <si>
    <t>CLIENTES</t>
  </si>
  <si>
    <t>TOTAL A PAGAR</t>
  </si>
  <si>
    <t>Alex</t>
  </si>
  <si>
    <t>João Afonso</t>
  </si>
  <si>
    <t>Jorge</t>
  </si>
  <si>
    <t>Mateus</t>
  </si>
  <si>
    <t>Willian</t>
  </si>
  <si>
    <t>Ana</t>
  </si>
  <si>
    <t>Clarinda</t>
  </si>
  <si>
    <t>Fábia</t>
  </si>
  <si>
    <t>Joana</t>
  </si>
  <si>
    <t>DIÁRIA</t>
  </si>
  <si>
    <t>TEMPO DE CORRIDA DOS ALUNOS - TREINO MARATONA ESCOLAR - 50m</t>
  </si>
  <si>
    <t>ALUNO</t>
  </si>
  <si>
    <t>TEMPO REALIZADO NA CORRIDA</t>
  </si>
  <si>
    <t>GRUPO</t>
  </si>
  <si>
    <t>DIVISÃO DE CLASSES SOCIOECONÔMICAS - IBGE</t>
  </si>
  <si>
    <t>ENTREVISTADO</t>
  </si>
  <si>
    <t>RENDA MENCIONADA</t>
  </si>
  <si>
    <t>CLASSE</t>
  </si>
  <si>
    <t>VENDEDOR</t>
  </si>
  <si>
    <t>VALOR DAS VENDAS REALIZADAS NO SEMESTRE</t>
  </si>
  <si>
    <t>PLANILHA DE DESCONTO - CLIENTES ATACADO</t>
  </si>
  <si>
    <t>CLIENTE</t>
  </si>
  <si>
    <t>VALOR DA COMPRA</t>
  </si>
  <si>
    <t>ESCOLA DE NATAÇÃO ÁGUA VIDA</t>
  </si>
  <si>
    <t>IDADE</t>
  </si>
  <si>
    <t>NOME DO ALUNO</t>
  </si>
  <si>
    <t>Arthur</t>
  </si>
  <si>
    <t>Alice</t>
  </si>
  <si>
    <t>Stephanie</t>
  </si>
  <si>
    <t>CATEGORIA / 
COR DA TOUCA</t>
  </si>
  <si>
    <t>HOTEL PARAÍSO - TABELA DE DIÁRIAS</t>
  </si>
  <si>
    <t>NÚMERO DE DIÁRIAS</t>
  </si>
  <si>
    <t>VALOR A PAGAR</t>
  </si>
  <si>
    <t>SALÁRIO + COMISSÃO</t>
  </si>
  <si>
    <t>SALÁRIO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</si>
</sst>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i/>
      <sz val="16"/>
      <name val="Times New Roman"/>
      <family val="1"/>
    </font>
    <font>
      <b/>
      <i/>
      <sz val="11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2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8" tint="0.80001220740379042"/>
        </stop>
        <stop position="0.5">
          <color theme="4" tint="-0.49803155613879818"/>
        </stop>
        <stop position="1">
          <color theme="8" tint="0.80001220740379042"/>
        </stop>
      </gradientFill>
    </fill>
    <fill>
      <gradientFill degree="90">
        <stop position="0">
          <color theme="4" tint="-0.49803155613879818"/>
        </stop>
        <stop position="0.5">
          <color theme="8" tint="0.80001220740379042"/>
        </stop>
        <stop position="1">
          <color theme="4" tint="-0.49803155613879818"/>
        </stop>
      </gradientFill>
    </fill>
    <fill>
      <gradientFill degree="90">
        <stop position="0">
          <color theme="8" tint="0.80001220740379042"/>
        </stop>
        <stop position="0.5">
          <color theme="8" tint="-0.49803155613879818"/>
        </stop>
        <stop position="1">
          <color theme="8" tint="0.80001220740379042"/>
        </stop>
      </gradientFill>
    </fill>
    <fill>
      <gradientFill degree="90">
        <stop position="0">
          <color theme="1"/>
        </stop>
        <stop position="0.5">
          <color theme="0"/>
        </stop>
        <stop position="1">
          <color theme="1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vertical="center"/>
    </xf>
    <xf numFmtId="164" fontId="2" fillId="4" borderId="1" xfId="0" applyNumberFormat="1" applyFont="1" applyFill="1" applyBorder="1" applyProtection="1"/>
    <xf numFmtId="164" fontId="2" fillId="0" borderId="1" xfId="0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vertical="top"/>
    </xf>
    <xf numFmtId="0" fontId="4" fillId="0" borderId="0" xfId="0" applyFont="1" applyProtection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44" fontId="2" fillId="0" borderId="1" xfId="1" applyFont="1" applyBorder="1"/>
    <xf numFmtId="0" fontId="2" fillId="0" borderId="1" xfId="1" applyNumberFormat="1" applyFont="1" applyBorder="1" applyAlignment="1">
      <alignment horizontal="center"/>
    </xf>
    <xf numFmtId="0" fontId="2" fillId="0" borderId="0" xfId="0" applyNumberFormat="1" applyFont="1"/>
    <xf numFmtId="44" fontId="2" fillId="0" borderId="0" xfId="0" applyNumberFormat="1" applyFont="1"/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left"/>
    </xf>
    <xf numFmtId="44" fontId="2" fillId="4" borderId="1" xfId="1" applyFont="1" applyFill="1" applyBorder="1"/>
    <xf numFmtId="44" fontId="2" fillId="0" borderId="0" xfId="1" applyFont="1"/>
    <xf numFmtId="0" fontId="2" fillId="0" borderId="1" xfId="0" applyFont="1" applyFill="1" applyBorder="1" applyAlignment="1">
      <alignment horizontal="left"/>
    </xf>
    <xf numFmtId="44" fontId="2" fillId="0" borderId="1" xfId="1" applyFont="1" applyFill="1" applyBorder="1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 applyProtection="1">
      <alignment vertical="center" wrapText="1"/>
    </xf>
    <xf numFmtId="44" fontId="2" fillId="0" borderId="1" xfId="1" applyFont="1" applyFill="1" applyBorder="1" applyProtection="1"/>
    <xf numFmtId="0" fontId="6" fillId="6" borderId="1" xfId="0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>
      <alignment horizontal="center" vertical="center" wrapText="1"/>
    </xf>
    <xf numFmtId="0" fontId="6" fillId="8" borderId="1" xfId="0" applyFont="1" applyFill="1" applyBorder="1" applyAlignment="1" applyProtection="1">
      <alignment horizontal="center" vertical="center" wrapText="1"/>
    </xf>
    <xf numFmtId="44" fontId="2" fillId="0" borderId="0" xfId="0" applyNumberFormat="1" applyFont="1" applyAlignment="1">
      <alignment vertical="center" wrapText="1"/>
    </xf>
    <xf numFmtId="0" fontId="9" fillId="2" borderId="1" xfId="0" applyFont="1" applyFill="1" applyBorder="1" applyAlignment="1" applyProtection="1">
      <alignment horizontal="center"/>
    </xf>
    <xf numFmtId="44" fontId="10" fillId="2" borderId="1" xfId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44" fontId="9" fillId="2" borderId="1" xfId="1" applyFont="1" applyFill="1" applyBorder="1" applyAlignment="1"/>
    <xf numFmtId="0" fontId="4" fillId="0" borderId="1" xfId="0" applyFont="1" applyBorder="1" applyAlignment="1">
      <alignment horizontal="center"/>
    </xf>
    <xf numFmtId="0" fontId="5" fillId="5" borderId="2" xfId="0" applyFont="1" applyFill="1" applyBorder="1" applyAlignment="1" applyProtection="1">
      <alignment horizontal="center" wrapText="1"/>
    </xf>
    <xf numFmtId="0" fontId="5" fillId="5" borderId="3" xfId="0" applyFont="1" applyFill="1" applyBorder="1" applyAlignment="1" applyProtection="1">
      <alignment horizontal="center" wrapText="1"/>
    </xf>
    <xf numFmtId="0" fontId="5" fillId="5" borderId="4" xfId="0" applyFont="1" applyFill="1" applyBorder="1" applyAlignment="1" applyProtection="1">
      <alignment horizont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7" fillId="7" borderId="5" xfId="0" applyFont="1" applyFill="1" applyBorder="1" applyAlignment="1" applyProtection="1">
      <alignment horizontal="center" vertical="center" wrapText="1"/>
    </xf>
    <xf numFmtId="0" fontId="7" fillId="7" borderId="6" xfId="0" applyFont="1" applyFill="1" applyBorder="1" applyAlignment="1" applyProtection="1">
      <alignment horizontal="center" vertical="center" wrapText="1"/>
    </xf>
    <xf numFmtId="0" fontId="7" fillId="7" borderId="7" xfId="0" applyFont="1" applyFill="1" applyBorder="1" applyAlignment="1" applyProtection="1">
      <alignment horizontal="center" vertical="center" wrapText="1"/>
    </xf>
  </cellXfs>
  <cellStyles count="3">
    <cellStyle name="Moeda" xfId="1" builtinId="4"/>
    <cellStyle name="Normal" xfId="0" builtinId="0"/>
    <cellStyle name="Separador de milhares 2" xfId="2" xr:uid="{00000000-0005-0000-0000-000002000000}"/>
  </cellStyles>
  <dxfs count="0"/>
  <tableStyles count="0" defaultTableStyle="TableStyleMedium9" defaultPivotStyle="PivotStyleLight16"/>
  <colors>
    <mruColors>
      <color rgb="FFFFFFD1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374314</xdr:colOff>
      <xdr:row>0</xdr:row>
      <xdr:rowOff>215156</xdr:rowOff>
    </xdr:from>
    <xdr:to>
      <xdr:col>14</xdr:col>
      <xdr:colOff>464719</xdr:colOff>
      <xdr:row>8</xdr:row>
      <xdr:rowOff>112636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79989" y="215156"/>
          <a:ext cx="6796005" cy="2154905"/>
        </a:xfrm>
        <a:prstGeom prst="roundRect">
          <a:avLst>
            <a:gd name="adj" fmla="val 15953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Indique na coluna C a qual grupo cada um dos alunos pertence de acordo com o tempo de corrida.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Alunos com tempo inferior a 22 segundos pertencerão ao GRUPO I.</a:t>
          </a:r>
        </a:p>
        <a:p>
          <a:pPr algn="l"/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Alunos com o inferior a 23 pertencerão ao GRUPO II.</a:t>
          </a:r>
        </a:p>
        <a:p>
          <a:pPr algn="l"/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Os demais alunos serão agrupados no GRUPO III.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476251</xdr:colOff>
      <xdr:row>11</xdr:row>
      <xdr:rowOff>58616</xdr:rowOff>
    </xdr:from>
    <xdr:to>
      <xdr:col>13</xdr:col>
      <xdr:colOff>322385</xdr:colOff>
      <xdr:row>21</xdr:row>
      <xdr:rowOff>29308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008078" y="2894135"/>
          <a:ext cx="4103076" cy="1875692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Indique na coluna C a qual classe os entrevistados pertencem.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Rendas maior ou igual a 7259 pertencem a CLASSE A</a:t>
          </a: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Rendas maior ou igual a 5123 pertencem a CLASSE B</a:t>
          </a: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Rendas maior ou igual a 3274 pertencem a CLASSE C</a:t>
          </a: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Rendas maior ou igual a 2000 pertencem a CLASSE D</a:t>
          </a: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Rendas inferior a 2000 pertencem a CLASSE E</a:t>
          </a:r>
        </a:p>
        <a:p>
          <a:pPr algn="l"/>
          <a:endParaRPr lang="pt-B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562027</xdr:colOff>
      <xdr:row>12</xdr:row>
      <xdr:rowOff>44087</xdr:rowOff>
    </xdr:from>
    <xdr:to>
      <xdr:col>2</xdr:col>
      <xdr:colOff>5239454</xdr:colOff>
      <xdr:row>28</xdr:row>
      <xdr:rowOff>73135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61888" y="2608383"/>
          <a:ext cx="4677427" cy="3103552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Indique a qual categoria cada aluno pertence de acordo com a idade.</a:t>
          </a:r>
        </a:p>
        <a:p>
          <a:pPr algn="l"/>
          <a:endParaRPr lang="pt-BR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Alunos com idade maior ou igual a 18 pertencem a categoria TOUCA </a:t>
          </a:r>
          <a:r>
            <a:rPr lang="pt-BR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PRETA</a:t>
          </a:r>
        </a:p>
        <a:p>
          <a:pPr algn="l"/>
          <a:endParaRPr lang="pt-BR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Alunos com idade maior ou igual a 15 anos pertencem a categoria TOUCA </a:t>
          </a:r>
          <a:r>
            <a:rPr lang="pt-BR" sz="1000" baseline="0">
              <a:solidFill>
                <a:schemeClr val="bg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CINZA</a:t>
          </a:r>
          <a:endParaRPr lang="pt-BR" sz="1000">
            <a:solidFill>
              <a:schemeClr val="bg1">
                <a:lumMod val="5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pt-BR" sz="10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Alunos com idade maior ou igual a 11 anos pertencem a categoria TOUCA </a:t>
          </a:r>
          <a:r>
            <a:rPr lang="pt-BR" sz="1000" baseline="0">
              <a:solidFill>
                <a:srgbClr val="92D05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VERDE</a:t>
          </a:r>
          <a:endParaRPr lang="pt-BR" sz="1000">
            <a:solidFill>
              <a:srgbClr val="92D05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pt-BR" sz="10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Alunos com idade maior ou igual a 6 anos pertencem a categoria TOUCA </a:t>
          </a:r>
          <a:r>
            <a:rPr lang="pt-BR" sz="1000" baseline="0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AMARELA</a:t>
          </a:r>
          <a:endParaRPr lang="pt-BR" sz="1000">
            <a:solidFill>
              <a:srgbClr val="FFFF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pt-BR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Alunos com idade maior ou igual a 2 anos pertencem a categoria TOUCA </a:t>
          </a:r>
          <a:r>
            <a:rPr lang="pt-BR" sz="1000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AZUL</a:t>
          </a:r>
        </a:p>
        <a:p>
          <a:pPr algn="l"/>
          <a:endParaRPr lang="pt-BR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Alunos com idade inferior a 2 anos pertencem ao TOUCA </a:t>
          </a:r>
          <a:r>
            <a:rPr lang="pt-BR" sz="1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VERMELHA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460782</xdr:colOff>
      <xdr:row>0</xdr:row>
      <xdr:rowOff>239549</xdr:rowOff>
    </xdr:from>
    <xdr:to>
      <xdr:col>10</xdr:col>
      <xdr:colOff>306917</xdr:colOff>
      <xdr:row>13</xdr:row>
      <xdr:rowOff>19844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178178" y="239549"/>
          <a:ext cx="4105927" cy="2882535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Indique na coluna C o valor do salário que cada vendedor receberá de acordo com a sua venda no semestre.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Valor de venda superior ou igual a R$ 50.000,00 receberá 12% de comissão.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Valor de venda superior a R$ 30.000,00 receberá comissão de 7,5%.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Para os demiais valores calcular comissão de 3%.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Todos os vendedores tem como salário fixo o valor de R$ 2.320,00</a:t>
          </a:r>
        </a:p>
        <a:p>
          <a:pPr algn="l"/>
          <a:endParaRPr lang="pt-BR" sz="11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1</xdr:row>
      <xdr:rowOff>44450</xdr:rowOff>
    </xdr:from>
    <xdr:to>
      <xdr:col>10</xdr:col>
      <xdr:colOff>134327</xdr:colOff>
      <xdr:row>11</xdr:row>
      <xdr:rowOff>156883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259729" y="302185"/>
          <a:ext cx="4110922" cy="2207933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Calcule na coluna C o valor de desconto que será aplicado de acordo com o valor de compra de cada cliente.</a:t>
          </a:r>
        </a:p>
        <a:p>
          <a:pPr algn="l"/>
          <a:endParaRPr lang="pt-BR" sz="11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Compras com valor maior ou igual a R$ 7.000,00 receberá um desconto de 10%.</a:t>
          </a:r>
        </a:p>
        <a:p>
          <a:pPr algn="l"/>
          <a:endParaRPr lang="pt-BR" sz="11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Compras com valor maior ou igual a R$ 5.000,00 receberá um desconto de 5%.</a:t>
          </a:r>
        </a:p>
        <a:p>
          <a:pPr algn="l"/>
          <a:endParaRPr lang="pt-BR" sz="1100" baseline="0">
            <a:solidFill>
              <a:schemeClr val="bg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Valores inferioes a R$ 5.000,00 não receberão desconto.</a:t>
          </a:r>
          <a:endParaRPr lang="pt-BR" sz="11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391135</xdr:colOff>
      <xdr:row>0</xdr:row>
      <xdr:rowOff>89340</xdr:rowOff>
    </xdr:from>
    <xdr:to>
      <xdr:col>10</xdr:col>
      <xdr:colOff>65314</xdr:colOff>
      <xdr:row>14</xdr:row>
      <xdr:rowOff>76199</xdr:rowOff>
    </xdr:to>
    <xdr:sp macro="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863678" y="89340"/>
          <a:ext cx="4066565" cy="3453959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O valor da diária do hotel é de R$ 85,90 por dia.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Além do valor da hospedagem também é cobrado dos clientes uma taxa de serviço que refere-se a troca de roupas de cama e banho, além da limpeza do quarto.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Quanto mais dias o cliente fica hospedado menor é o valor cobrado.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Crie uma função que seja capaz de calcular o valor da taxa de serviço de acordo com os dias de hospedagem.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R$ 3,50 por diária, se o número de diárias for superior a 15 dias.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R$ 3,95 por diária, se o número de diárias for igual a 15 dias.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R$ 4,10 por diária, se o número de diárias for inferior a 15 dias.</a:t>
          </a:r>
        </a:p>
        <a:p>
          <a:pPr algn="l"/>
          <a:endParaRPr lang="pt-BR" sz="1100" baseline="0"/>
        </a:p>
        <a:p>
          <a:pPr algn="l"/>
          <a:endParaRPr lang="pt-B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G18"/>
  <sheetViews>
    <sheetView showGridLines="0" zoomScale="115" zoomScaleNormal="115" workbookViewId="0">
      <selection activeCell="E16" sqref="E16"/>
    </sheetView>
  </sheetViews>
  <sheetFormatPr defaultColWidth="9.140625" defaultRowHeight="15" x14ac:dyDescent="0.25"/>
  <cols>
    <col min="1" max="1" width="20.7109375" style="1" customWidth="1"/>
    <col min="2" max="2" width="19.28515625" style="1" customWidth="1"/>
    <col min="3" max="3" width="69.5703125" style="1" customWidth="1"/>
    <col min="4" max="16384" width="9.140625" style="1"/>
  </cols>
  <sheetData>
    <row r="1" spans="1:7" ht="42" customHeight="1" thickTop="1" thickBot="1" x14ac:dyDescent="0.35">
      <c r="A1" s="36" t="s">
        <v>33</v>
      </c>
      <c r="B1" s="37"/>
      <c r="C1" s="38"/>
    </row>
    <row r="2" spans="1:7" ht="15.75" thickTop="1" x14ac:dyDescent="0.25"/>
    <row r="3" spans="1:7" s="2" customFormat="1" ht="45" x14ac:dyDescent="0.25">
      <c r="A3" s="27" t="s">
        <v>34</v>
      </c>
      <c r="B3" s="28" t="s">
        <v>35</v>
      </c>
      <c r="C3" s="27" t="s">
        <v>36</v>
      </c>
    </row>
    <row r="4" spans="1:7" x14ac:dyDescent="0.25">
      <c r="A4" s="3" t="s">
        <v>10</v>
      </c>
      <c r="B4" s="4">
        <v>21.5</v>
      </c>
      <c r="C4" s="5" t="str">
        <f>IF(B4&lt;22,"GRUPO I",IF(B4&lt;23,"GRUPO II","GRUPO III"))</f>
        <v>GRUPO I</v>
      </c>
    </row>
    <row r="5" spans="1:7" ht="15" customHeight="1" x14ac:dyDescent="0.25">
      <c r="A5" s="3" t="s">
        <v>11</v>
      </c>
      <c r="B5" s="4">
        <v>22.9</v>
      </c>
      <c r="C5" s="5" t="str">
        <f t="shared" ref="C5:C18" si="0">IF(B5&lt;22,"GRUPO I",IF(B5&lt;23,"GRUPO II","GRUPO III"))</f>
        <v>GRUPO II</v>
      </c>
      <c r="E5" s="6"/>
      <c r="F5" s="6"/>
      <c r="G5" s="6"/>
    </row>
    <row r="6" spans="1:7" ht="15" customHeight="1" x14ac:dyDescent="0.25">
      <c r="A6" s="3" t="s">
        <v>12</v>
      </c>
      <c r="B6" s="4">
        <v>21.7</v>
      </c>
      <c r="C6" s="5" t="str">
        <f t="shared" si="0"/>
        <v>GRUPO I</v>
      </c>
      <c r="E6" s="6"/>
      <c r="F6" s="6"/>
      <c r="G6" s="6"/>
    </row>
    <row r="7" spans="1:7" ht="15" customHeight="1" x14ac:dyDescent="0.25">
      <c r="A7" s="3" t="s">
        <v>13</v>
      </c>
      <c r="B7" s="4">
        <v>22.4</v>
      </c>
      <c r="C7" s="5" t="str">
        <f t="shared" si="0"/>
        <v>GRUPO II</v>
      </c>
      <c r="E7" s="6"/>
      <c r="F7" s="6"/>
      <c r="G7" s="6"/>
    </row>
    <row r="8" spans="1:7" ht="15" customHeight="1" x14ac:dyDescent="0.25">
      <c r="A8" s="3" t="s">
        <v>14</v>
      </c>
      <c r="B8" s="4">
        <v>23.1</v>
      </c>
      <c r="C8" s="5" t="str">
        <f t="shared" si="0"/>
        <v>GRUPO III</v>
      </c>
      <c r="E8" s="6"/>
      <c r="F8" s="6"/>
      <c r="G8" s="6"/>
    </row>
    <row r="9" spans="1:7" ht="15" customHeight="1" x14ac:dyDescent="0.25">
      <c r="A9" s="3" t="s">
        <v>5</v>
      </c>
      <c r="B9" s="4">
        <v>21.8</v>
      </c>
      <c r="C9" s="5" t="str">
        <f t="shared" si="0"/>
        <v>GRUPO I</v>
      </c>
      <c r="E9" s="6"/>
      <c r="F9" s="6"/>
      <c r="G9" s="6"/>
    </row>
    <row r="10" spans="1:7" ht="15" customHeight="1" x14ac:dyDescent="0.25">
      <c r="A10" s="3" t="s">
        <v>6</v>
      </c>
      <c r="B10" s="4">
        <v>23.8</v>
      </c>
      <c r="C10" s="5" t="str">
        <f t="shared" si="0"/>
        <v>GRUPO III</v>
      </c>
      <c r="E10" s="6"/>
      <c r="F10" s="6"/>
      <c r="G10" s="6"/>
    </row>
    <row r="11" spans="1:7" ht="15" customHeight="1" x14ac:dyDescent="0.25">
      <c r="A11" s="3" t="s">
        <v>8</v>
      </c>
      <c r="B11" s="4">
        <v>21.5</v>
      </c>
      <c r="C11" s="5" t="str">
        <f t="shared" si="0"/>
        <v>GRUPO I</v>
      </c>
      <c r="E11" s="6"/>
      <c r="F11" s="6"/>
      <c r="G11" s="6"/>
    </row>
    <row r="12" spans="1:7" x14ac:dyDescent="0.25">
      <c r="A12" s="3" t="s">
        <v>9</v>
      </c>
      <c r="B12" s="4">
        <v>23.8</v>
      </c>
      <c r="C12" s="5" t="str">
        <f t="shared" si="0"/>
        <v>GRUPO III</v>
      </c>
    </row>
    <row r="13" spans="1:7" x14ac:dyDescent="0.25">
      <c r="A13" s="3" t="s">
        <v>7</v>
      </c>
      <c r="B13" s="4">
        <v>21</v>
      </c>
      <c r="C13" s="5" t="str">
        <f t="shared" si="0"/>
        <v>GRUPO I</v>
      </c>
    </row>
    <row r="14" spans="1:7" x14ac:dyDescent="0.25">
      <c r="A14" s="3" t="s">
        <v>0</v>
      </c>
      <c r="B14" s="4">
        <v>21.6</v>
      </c>
      <c r="C14" s="5" t="str">
        <f t="shared" si="0"/>
        <v>GRUPO I</v>
      </c>
    </row>
    <row r="15" spans="1:7" x14ac:dyDescent="0.25">
      <c r="A15" s="3" t="s">
        <v>1</v>
      </c>
      <c r="B15" s="4">
        <v>23.8</v>
      </c>
      <c r="C15" s="5" t="str">
        <f t="shared" si="0"/>
        <v>GRUPO III</v>
      </c>
    </row>
    <row r="16" spans="1:7" ht="15" customHeight="1" x14ac:dyDescent="0.3">
      <c r="A16" s="3" t="s">
        <v>2</v>
      </c>
      <c r="B16" s="4">
        <v>22.8</v>
      </c>
      <c r="C16" s="5" t="str">
        <f t="shared" si="0"/>
        <v>GRUPO II</v>
      </c>
      <c r="E16" s="7"/>
    </row>
    <row r="17" spans="1:3" x14ac:dyDescent="0.25">
      <c r="A17" s="3" t="s">
        <v>3</v>
      </c>
      <c r="B17" s="4">
        <v>22.1</v>
      </c>
      <c r="C17" s="5" t="str">
        <f t="shared" si="0"/>
        <v>GRUPO II</v>
      </c>
    </row>
    <row r="18" spans="1:3" x14ac:dyDescent="0.25">
      <c r="A18" s="3" t="s">
        <v>4</v>
      </c>
      <c r="B18" s="4">
        <v>23.6</v>
      </c>
      <c r="C18" s="5" t="str">
        <f t="shared" si="0"/>
        <v>GRUPO III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"/>
  <dimension ref="A1:C18"/>
  <sheetViews>
    <sheetView showGridLines="0" zoomScale="85" zoomScaleNormal="85" workbookViewId="0">
      <selection activeCell="C6" sqref="C6"/>
    </sheetView>
  </sheetViews>
  <sheetFormatPr defaultColWidth="9.140625" defaultRowHeight="15" x14ac:dyDescent="0.25"/>
  <cols>
    <col min="1" max="1" width="18.140625" style="1" bestFit="1" customWidth="1"/>
    <col min="2" max="2" width="15.7109375" style="1" customWidth="1"/>
    <col min="3" max="3" width="128.5703125" style="1" customWidth="1"/>
    <col min="4" max="16384" width="9.140625" style="1"/>
  </cols>
  <sheetData>
    <row r="1" spans="1:3" ht="43.5" customHeight="1" x14ac:dyDescent="0.25">
      <c r="A1" s="39" t="s">
        <v>37</v>
      </c>
      <c r="B1" s="39"/>
      <c r="C1" s="39"/>
    </row>
    <row r="2" spans="1:3" s="25" customFormat="1" ht="45" x14ac:dyDescent="0.25">
      <c r="A2" s="29" t="s">
        <v>38</v>
      </c>
      <c r="B2" s="29" t="s">
        <v>39</v>
      </c>
      <c r="C2" s="29" t="s">
        <v>40</v>
      </c>
    </row>
    <row r="3" spans="1:3" ht="23.25" x14ac:dyDescent="0.35">
      <c r="A3" s="26" t="s">
        <v>10</v>
      </c>
      <c r="B3" s="26">
        <v>1235</v>
      </c>
      <c r="C3" s="31" t="str">
        <f>IF(B3&gt;=7259,"CLASSE A",IF(B3&gt;=5123,"CLASSE B",IF(B3&gt;=3274,"CLASSE C",IF(B3&lt;=2000,"CLASSE D","CLASSE E"))))</f>
        <v>CLASSE D</v>
      </c>
    </row>
    <row r="4" spans="1:3" ht="23.25" x14ac:dyDescent="0.35">
      <c r="A4" s="26" t="s">
        <v>11</v>
      </c>
      <c r="B4" s="26">
        <v>1600</v>
      </c>
      <c r="C4" s="31" t="str">
        <f t="shared" ref="C4:C17" si="0">IF(B4&gt;=7259,"CLASSE A",IF(B4&gt;=5123,"CLASSE B",IF(B4&gt;=3274,"CLASSE C",IF(B4&lt;=2000,"CLASSE D","CLASSE E"))))</f>
        <v>CLASSE D</v>
      </c>
    </row>
    <row r="5" spans="1:3" ht="23.25" x14ac:dyDescent="0.35">
      <c r="A5" s="26" t="s">
        <v>12</v>
      </c>
      <c r="B5" s="26">
        <v>2300</v>
      </c>
      <c r="C5" s="31" t="str">
        <f t="shared" si="0"/>
        <v>CLASSE E</v>
      </c>
    </row>
    <row r="6" spans="1:3" ht="23.25" x14ac:dyDescent="0.35">
      <c r="A6" s="26" t="s">
        <v>13</v>
      </c>
      <c r="B6" s="26">
        <v>10274</v>
      </c>
      <c r="C6" s="31" t="str">
        <f t="shared" si="0"/>
        <v>CLASSE A</v>
      </c>
    </row>
    <row r="7" spans="1:3" ht="23.25" x14ac:dyDescent="0.35">
      <c r="A7" s="26" t="s">
        <v>14</v>
      </c>
      <c r="B7" s="26">
        <v>5200</v>
      </c>
      <c r="C7" s="31" t="str">
        <f t="shared" si="0"/>
        <v>CLASSE B</v>
      </c>
    </row>
    <row r="8" spans="1:3" ht="23.25" x14ac:dyDescent="0.35">
      <c r="A8" s="26" t="s">
        <v>5</v>
      </c>
      <c r="B8" s="26">
        <v>3245</v>
      </c>
      <c r="C8" s="31" t="str">
        <f t="shared" si="0"/>
        <v>CLASSE E</v>
      </c>
    </row>
    <row r="9" spans="1:3" ht="23.25" x14ac:dyDescent="0.35">
      <c r="A9" s="26" t="s">
        <v>6</v>
      </c>
      <c r="B9" s="26">
        <v>4012</v>
      </c>
      <c r="C9" s="31" t="str">
        <f t="shared" si="0"/>
        <v>CLASSE C</v>
      </c>
    </row>
    <row r="10" spans="1:3" ht="23.25" x14ac:dyDescent="0.35">
      <c r="A10" s="26" t="s">
        <v>8</v>
      </c>
      <c r="B10" s="26">
        <v>7277</v>
      </c>
      <c r="C10" s="31" t="str">
        <f t="shared" si="0"/>
        <v>CLASSE A</v>
      </c>
    </row>
    <row r="11" spans="1:3" ht="23.25" x14ac:dyDescent="0.35">
      <c r="A11" s="26" t="s">
        <v>9</v>
      </c>
      <c r="B11" s="26">
        <v>3568</v>
      </c>
      <c r="C11" s="31" t="str">
        <f t="shared" si="0"/>
        <v>CLASSE C</v>
      </c>
    </row>
    <row r="12" spans="1:3" ht="23.25" x14ac:dyDescent="0.35">
      <c r="A12" s="26" t="s">
        <v>7</v>
      </c>
      <c r="B12" s="26">
        <v>3055</v>
      </c>
      <c r="C12" s="31" t="str">
        <f t="shared" si="0"/>
        <v>CLASSE E</v>
      </c>
    </row>
    <row r="13" spans="1:3" ht="23.25" x14ac:dyDescent="0.35">
      <c r="A13" s="26" t="s">
        <v>0</v>
      </c>
      <c r="B13" s="26">
        <v>5396</v>
      </c>
      <c r="C13" s="31" t="str">
        <f t="shared" si="0"/>
        <v>CLASSE B</v>
      </c>
    </row>
    <row r="14" spans="1:3" ht="23.25" x14ac:dyDescent="0.35">
      <c r="A14" s="26" t="s">
        <v>1</v>
      </c>
      <c r="B14" s="26">
        <v>1924</v>
      </c>
      <c r="C14" s="31" t="str">
        <f t="shared" si="0"/>
        <v>CLASSE D</v>
      </c>
    </row>
    <row r="15" spans="1:3" ht="23.25" x14ac:dyDescent="0.35">
      <c r="A15" s="26" t="s">
        <v>2</v>
      </c>
      <c r="B15" s="26">
        <v>2091</v>
      </c>
      <c r="C15" s="31" t="str">
        <f t="shared" si="0"/>
        <v>CLASSE E</v>
      </c>
    </row>
    <row r="16" spans="1:3" ht="23.25" x14ac:dyDescent="0.35">
      <c r="A16" s="26" t="s">
        <v>3</v>
      </c>
      <c r="B16" s="26">
        <v>5938</v>
      </c>
      <c r="C16" s="31" t="str">
        <f t="shared" si="0"/>
        <v>CLASSE B</v>
      </c>
    </row>
    <row r="17" spans="1:3" ht="23.25" x14ac:dyDescent="0.35">
      <c r="A17" s="26" t="s">
        <v>4</v>
      </c>
      <c r="B17" s="26">
        <v>2118</v>
      </c>
      <c r="C17" s="31" t="str">
        <f t="shared" si="0"/>
        <v>CLASSE E</v>
      </c>
    </row>
    <row r="18" spans="1:3" ht="15" customHeight="1" x14ac:dyDescent="0.25"/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zoomScale="115" zoomScaleNormal="115" workbookViewId="0">
      <selection activeCell="C3" sqref="C3"/>
    </sheetView>
  </sheetViews>
  <sheetFormatPr defaultRowHeight="15" x14ac:dyDescent="0.25"/>
  <cols>
    <col min="1" max="1" width="12.140625" style="9" customWidth="1"/>
    <col min="2" max="2" width="20.85546875" style="9" customWidth="1"/>
    <col min="3" max="3" width="124" style="9" customWidth="1"/>
    <col min="4" max="16384" width="9.140625" style="9"/>
  </cols>
  <sheetData>
    <row r="1" spans="1:3" ht="20.25" x14ac:dyDescent="0.25">
      <c r="A1" s="39" t="s">
        <v>46</v>
      </c>
      <c r="B1" s="39"/>
      <c r="C1" s="39"/>
    </row>
    <row r="2" spans="1:3" s="22" customFormat="1" ht="30" x14ac:dyDescent="0.25">
      <c r="A2" s="29" t="s">
        <v>48</v>
      </c>
      <c r="B2" s="29" t="s">
        <v>47</v>
      </c>
      <c r="C2" s="29" t="s">
        <v>52</v>
      </c>
    </row>
    <row r="3" spans="1:3" ht="18.75" x14ac:dyDescent="0.3">
      <c r="A3" s="23" t="s">
        <v>15</v>
      </c>
      <c r="B3" s="24">
        <v>7</v>
      </c>
      <c r="C3" s="35" t="str">
        <f>IF(B3&gt;=18,"TOUCA PRETA",IF(B3&gt;=15,"TOUCA CINZA",IF(B3&gt;=11,"TOUCA VERDE",IF(B3&gt;=6,"TOUCA AMARELA",IF(B3&gt;=2,"TOUCA AZUL","TOUCA VERMELHA")))))</f>
        <v>TOUCA AMARELA</v>
      </c>
    </row>
    <row r="4" spans="1:3" ht="18.75" x14ac:dyDescent="0.3">
      <c r="A4" s="23" t="s">
        <v>18</v>
      </c>
      <c r="B4" s="24">
        <v>9</v>
      </c>
      <c r="C4" s="35" t="str">
        <f t="shared" ref="C4:C11" si="0">IF(B4&gt;=18,"TOUCA PRETA",IF(B4&gt;=15,"TOUCA CINZA",IF(B4&gt;=11,"TOUCA VERDE",IF(B4&gt;=6,"TOUCA AMARELA",IF(B4&gt;=2,"TOUCA AZUL","TOUCA VERMELHA")))))</f>
        <v>TOUCA AMARELA</v>
      </c>
    </row>
    <row r="5" spans="1:3" ht="18.75" x14ac:dyDescent="0.3">
      <c r="A5" s="23" t="s">
        <v>17</v>
      </c>
      <c r="B5" s="24">
        <v>6</v>
      </c>
      <c r="C5" s="35" t="str">
        <f t="shared" si="0"/>
        <v>TOUCA AMARELA</v>
      </c>
    </row>
    <row r="6" spans="1:3" ht="18.75" x14ac:dyDescent="0.3">
      <c r="A6" s="23" t="s">
        <v>16</v>
      </c>
      <c r="B6" s="24">
        <v>35</v>
      </c>
      <c r="C6" s="35" t="str">
        <f t="shared" si="0"/>
        <v>TOUCA PRETA</v>
      </c>
    </row>
    <row r="7" spans="1:3" ht="18.75" x14ac:dyDescent="0.3">
      <c r="A7" s="23" t="s">
        <v>19</v>
      </c>
      <c r="B7" s="24">
        <v>22</v>
      </c>
      <c r="C7" s="35" t="str">
        <f t="shared" si="0"/>
        <v>TOUCA PRETA</v>
      </c>
    </row>
    <row r="8" spans="1:3" ht="18.75" x14ac:dyDescent="0.3">
      <c r="A8" s="23" t="s">
        <v>20</v>
      </c>
      <c r="B8" s="24">
        <v>74</v>
      </c>
      <c r="C8" s="35" t="str">
        <f t="shared" si="0"/>
        <v>TOUCA PRETA</v>
      </c>
    </row>
    <row r="9" spans="1:3" ht="18.75" x14ac:dyDescent="0.3">
      <c r="A9" s="23" t="s">
        <v>49</v>
      </c>
      <c r="B9" s="24">
        <v>15</v>
      </c>
      <c r="C9" s="35" t="str">
        <f t="shared" si="0"/>
        <v>TOUCA CINZA</v>
      </c>
    </row>
    <row r="10" spans="1:3" ht="18.75" x14ac:dyDescent="0.3">
      <c r="A10" s="23" t="s">
        <v>50</v>
      </c>
      <c r="B10" s="24">
        <v>2</v>
      </c>
      <c r="C10" s="35" t="str">
        <f t="shared" si="0"/>
        <v>TOUCA AZUL</v>
      </c>
    </row>
    <row r="11" spans="1:3" ht="18.75" x14ac:dyDescent="0.3">
      <c r="A11" s="23" t="s">
        <v>51</v>
      </c>
      <c r="B11" s="24">
        <v>1</v>
      </c>
      <c r="C11" s="35" t="str">
        <f t="shared" si="0"/>
        <v>TOUCA VERMELHA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topLeftCell="B4" zoomScale="115" zoomScaleNormal="115" workbookViewId="0">
      <selection activeCell="C19" sqref="C19"/>
    </sheetView>
  </sheetViews>
  <sheetFormatPr defaultRowHeight="15" x14ac:dyDescent="0.25"/>
  <cols>
    <col min="1" max="1" width="16.5703125" style="9" bestFit="1" customWidth="1"/>
    <col min="2" max="2" width="24" style="9" customWidth="1"/>
    <col min="3" max="3" width="123.85546875" style="9" customWidth="1"/>
    <col min="4" max="4" width="9.140625" style="9"/>
    <col min="5" max="5" width="14" style="9" bestFit="1" customWidth="1"/>
    <col min="6" max="16384" width="9.140625" style="9"/>
  </cols>
  <sheetData>
    <row r="1" spans="1:9" ht="20.25" x14ac:dyDescent="0.25">
      <c r="A1" s="39" t="s">
        <v>56</v>
      </c>
      <c r="B1" s="39"/>
      <c r="C1" s="39"/>
    </row>
    <row r="2" spans="1:9" ht="57.75" customHeight="1" x14ac:dyDescent="0.25">
      <c r="A2" s="29" t="s">
        <v>41</v>
      </c>
      <c r="B2" s="29" t="s">
        <v>42</v>
      </c>
      <c r="C2" s="29" t="s">
        <v>57</v>
      </c>
    </row>
    <row r="3" spans="1:9" ht="30.75" x14ac:dyDescent="0.45">
      <c r="A3" s="20" t="s">
        <v>10</v>
      </c>
      <c r="B3" s="21">
        <v>92293</v>
      </c>
      <c r="C3" s="32">
        <f>IF(B3&gt;=50000,2320+(0.12*B3),IF(B3&gt;=30000,2320+(0.075*B3),2320+(0.03*B3)))</f>
        <v>13395.16</v>
      </c>
    </row>
    <row r="4" spans="1:9" ht="30.75" x14ac:dyDescent="0.45">
      <c r="A4" s="20" t="s">
        <v>11</v>
      </c>
      <c r="B4" s="21">
        <v>85918</v>
      </c>
      <c r="C4" s="32">
        <f t="shared" ref="C4:C17" si="0">IF(B4&gt;=50000,2320+(0.12*B4),IF(B4&gt;=30000,2320+(0.075*B4),2320+(0.03*B4)))</f>
        <v>12630.16</v>
      </c>
      <c r="E4" s="16"/>
      <c r="F4" s="16"/>
      <c r="G4" s="16"/>
      <c r="H4" s="16"/>
      <c r="I4" s="16"/>
    </row>
    <row r="5" spans="1:9" ht="30.75" x14ac:dyDescent="0.45">
      <c r="A5" s="20" t="s">
        <v>12</v>
      </c>
      <c r="B5" s="21">
        <v>30446</v>
      </c>
      <c r="C5" s="32">
        <f t="shared" si="0"/>
        <v>4603.45</v>
      </c>
      <c r="E5" s="16"/>
      <c r="F5" s="16"/>
      <c r="G5" s="16"/>
      <c r="H5" s="16"/>
      <c r="I5" s="16"/>
    </row>
    <row r="6" spans="1:9" ht="30.75" x14ac:dyDescent="0.45">
      <c r="A6" s="20" t="s">
        <v>13</v>
      </c>
      <c r="B6" s="21">
        <v>70712</v>
      </c>
      <c r="C6" s="32">
        <f t="shared" si="0"/>
        <v>10805.44</v>
      </c>
      <c r="E6" s="16"/>
      <c r="F6" s="16"/>
      <c r="G6" s="16"/>
      <c r="H6" s="16"/>
      <c r="I6" s="16"/>
    </row>
    <row r="7" spans="1:9" ht="30.75" x14ac:dyDescent="0.45">
      <c r="A7" s="20" t="s">
        <v>14</v>
      </c>
      <c r="B7" s="21">
        <v>72927</v>
      </c>
      <c r="C7" s="32">
        <f t="shared" si="0"/>
        <v>11071.24</v>
      </c>
      <c r="E7" s="16"/>
      <c r="F7" s="16"/>
      <c r="G7" s="16"/>
      <c r="H7" s="16"/>
      <c r="I7" s="16"/>
    </row>
    <row r="8" spans="1:9" ht="30.75" x14ac:dyDescent="0.45">
      <c r="A8" s="20" t="s">
        <v>5</v>
      </c>
      <c r="B8" s="21">
        <v>96510</v>
      </c>
      <c r="C8" s="32">
        <f t="shared" si="0"/>
        <v>13901.199999999999</v>
      </c>
      <c r="E8" s="16"/>
      <c r="F8" s="16"/>
      <c r="G8" s="16"/>
      <c r="H8" s="16"/>
      <c r="I8" s="16"/>
    </row>
    <row r="9" spans="1:9" ht="30.75" x14ac:dyDescent="0.45">
      <c r="A9" s="20" t="s">
        <v>6</v>
      </c>
      <c r="B9" s="21">
        <v>53552</v>
      </c>
      <c r="C9" s="32">
        <f t="shared" si="0"/>
        <v>8746.24</v>
      </c>
      <c r="E9" s="16"/>
      <c r="F9" s="16"/>
      <c r="G9" s="16"/>
      <c r="H9" s="16"/>
      <c r="I9" s="16"/>
    </row>
    <row r="10" spans="1:9" ht="30.75" x14ac:dyDescent="0.45">
      <c r="A10" s="20" t="s">
        <v>8</v>
      </c>
      <c r="B10" s="21">
        <v>99322</v>
      </c>
      <c r="C10" s="32">
        <f t="shared" si="0"/>
        <v>14238.64</v>
      </c>
      <c r="E10" s="16"/>
      <c r="F10" s="16"/>
      <c r="G10" s="16"/>
      <c r="H10" s="16"/>
      <c r="I10" s="16"/>
    </row>
    <row r="11" spans="1:9" ht="30.75" x14ac:dyDescent="0.45">
      <c r="A11" s="20" t="s">
        <v>9</v>
      </c>
      <c r="B11" s="21">
        <v>69257</v>
      </c>
      <c r="C11" s="32">
        <f t="shared" si="0"/>
        <v>10630.84</v>
      </c>
      <c r="E11" s="16"/>
      <c r="F11" s="16"/>
      <c r="G11" s="16"/>
      <c r="H11" s="16"/>
      <c r="I11" s="16"/>
    </row>
    <row r="12" spans="1:9" ht="30.75" x14ac:dyDescent="0.45">
      <c r="A12" s="20" t="s">
        <v>7</v>
      </c>
      <c r="B12" s="21">
        <v>97678</v>
      </c>
      <c r="C12" s="32">
        <f t="shared" si="0"/>
        <v>14041.359999999999</v>
      </c>
    </row>
    <row r="13" spans="1:9" ht="30.75" x14ac:dyDescent="0.45">
      <c r="A13" s="20" t="s">
        <v>0</v>
      </c>
      <c r="B13" s="21">
        <v>36028</v>
      </c>
      <c r="C13" s="32">
        <f t="shared" si="0"/>
        <v>5022.1000000000004</v>
      </c>
    </row>
    <row r="14" spans="1:9" ht="30.75" x14ac:dyDescent="0.45">
      <c r="A14" s="20" t="s">
        <v>1</v>
      </c>
      <c r="B14" s="21">
        <v>28449</v>
      </c>
      <c r="C14" s="32">
        <f t="shared" si="0"/>
        <v>3173.47</v>
      </c>
    </row>
    <row r="15" spans="1:9" ht="30.75" x14ac:dyDescent="0.45">
      <c r="A15" s="20" t="s">
        <v>2</v>
      </c>
      <c r="B15" s="21">
        <v>78917</v>
      </c>
      <c r="C15" s="32">
        <f t="shared" si="0"/>
        <v>11790.039999999999</v>
      </c>
      <c r="E15" s="15"/>
    </row>
    <row r="16" spans="1:9" ht="30.75" x14ac:dyDescent="0.45">
      <c r="A16" s="20" t="s">
        <v>3</v>
      </c>
      <c r="B16" s="21">
        <v>69451</v>
      </c>
      <c r="C16" s="32">
        <f t="shared" si="0"/>
        <v>10654.119999999999</v>
      </c>
    </row>
    <row r="17" spans="1:3" ht="30.75" x14ac:dyDescent="0.45">
      <c r="A17" s="20" t="s">
        <v>4</v>
      </c>
      <c r="B17" s="21">
        <v>85546</v>
      </c>
      <c r="C17" s="32">
        <f t="shared" si="0"/>
        <v>12585.52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topLeftCell="B1" zoomScale="130" zoomScaleNormal="130" workbookViewId="0">
      <selection activeCell="C3" sqref="C3"/>
    </sheetView>
  </sheetViews>
  <sheetFormatPr defaultRowHeight="15" x14ac:dyDescent="0.25"/>
  <cols>
    <col min="1" max="1" width="18.140625" style="9" bestFit="1" customWidth="1"/>
    <col min="2" max="2" width="22.42578125" style="19" customWidth="1"/>
    <col min="3" max="3" width="111.140625" style="9" customWidth="1"/>
    <col min="4" max="5" width="12.140625" style="9" bestFit="1" customWidth="1"/>
    <col min="6" max="16384" width="9.140625" style="9"/>
  </cols>
  <sheetData>
    <row r="1" spans="1:5" ht="20.25" x14ac:dyDescent="0.25">
      <c r="A1" s="39" t="s">
        <v>43</v>
      </c>
      <c r="B1" s="39"/>
      <c r="C1" s="39"/>
      <c r="D1" s="15"/>
      <c r="E1" s="30"/>
    </row>
    <row r="2" spans="1:5" s="16" customFormat="1" x14ac:dyDescent="0.25">
      <c r="A2" s="29" t="s">
        <v>44</v>
      </c>
      <c r="B2" s="29" t="s">
        <v>45</v>
      </c>
      <c r="C2" s="29" t="s">
        <v>22</v>
      </c>
    </row>
    <row r="3" spans="1:5" ht="20.25" x14ac:dyDescent="0.3">
      <c r="A3" s="17" t="s">
        <v>10</v>
      </c>
      <c r="B3" s="18">
        <v>5675</v>
      </c>
      <c r="C3" s="33">
        <f>IF(B3&gt;=7000,B3-(B3*0.1),IF(B3&gt;=5000,B3-(B3*0.05),B3))</f>
        <v>5391.25</v>
      </c>
    </row>
    <row r="4" spans="1:5" ht="20.25" x14ac:dyDescent="0.3">
      <c r="A4" s="17" t="s">
        <v>11</v>
      </c>
      <c r="B4" s="18">
        <v>9008</v>
      </c>
      <c r="C4" s="33">
        <f t="shared" ref="C4:C17" si="0">IF(B4&gt;=7000,B4-(B4*0.1),IF(B4&gt;=5000,B4-(B4*0.05),B4))</f>
        <v>8107.2</v>
      </c>
    </row>
    <row r="5" spans="1:5" ht="20.25" x14ac:dyDescent="0.3">
      <c r="A5" s="17" t="s">
        <v>12</v>
      </c>
      <c r="B5" s="18">
        <v>3927</v>
      </c>
      <c r="C5" s="33">
        <f t="shared" si="0"/>
        <v>3927</v>
      </c>
    </row>
    <row r="6" spans="1:5" ht="20.25" x14ac:dyDescent="0.3">
      <c r="A6" s="17" t="s">
        <v>13</v>
      </c>
      <c r="B6" s="18">
        <v>1400</v>
      </c>
      <c r="C6" s="33">
        <f t="shared" si="0"/>
        <v>1400</v>
      </c>
    </row>
    <row r="7" spans="1:5" ht="20.25" x14ac:dyDescent="0.3">
      <c r="A7" s="17" t="s">
        <v>14</v>
      </c>
      <c r="B7" s="18">
        <v>7247</v>
      </c>
      <c r="C7" s="33">
        <f t="shared" si="0"/>
        <v>6522.3</v>
      </c>
    </row>
    <row r="8" spans="1:5" ht="20.25" x14ac:dyDescent="0.3">
      <c r="A8" s="17" t="s">
        <v>5</v>
      </c>
      <c r="B8" s="18">
        <v>8961</v>
      </c>
      <c r="C8" s="33">
        <f t="shared" si="0"/>
        <v>8064.9</v>
      </c>
    </row>
    <row r="9" spans="1:5" ht="20.25" x14ac:dyDescent="0.3">
      <c r="A9" s="17" t="s">
        <v>6</v>
      </c>
      <c r="B9" s="18">
        <v>3545</v>
      </c>
      <c r="C9" s="33">
        <f t="shared" si="0"/>
        <v>3545</v>
      </c>
    </row>
    <row r="10" spans="1:5" ht="20.25" x14ac:dyDescent="0.3">
      <c r="A10" s="17" t="s">
        <v>8</v>
      </c>
      <c r="B10" s="18">
        <v>1356</v>
      </c>
      <c r="C10" s="33">
        <f t="shared" si="0"/>
        <v>1356</v>
      </c>
    </row>
    <row r="11" spans="1:5" ht="20.25" x14ac:dyDescent="0.3">
      <c r="A11" s="17" t="s">
        <v>9</v>
      </c>
      <c r="B11" s="18">
        <v>8049</v>
      </c>
      <c r="C11" s="33">
        <f t="shared" si="0"/>
        <v>7244.1</v>
      </c>
    </row>
    <row r="12" spans="1:5" ht="20.25" x14ac:dyDescent="0.3">
      <c r="A12" s="17" t="s">
        <v>7</v>
      </c>
      <c r="B12" s="18">
        <v>7433</v>
      </c>
      <c r="C12" s="33">
        <f t="shared" si="0"/>
        <v>6689.7</v>
      </c>
    </row>
    <row r="13" spans="1:5" ht="20.25" x14ac:dyDescent="0.3">
      <c r="A13" s="17" t="s">
        <v>0</v>
      </c>
      <c r="B13" s="18">
        <v>3344</v>
      </c>
      <c r="C13" s="33">
        <f t="shared" si="0"/>
        <v>3344</v>
      </c>
    </row>
    <row r="14" spans="1:5" ht="20.25" x14ac:dyDescent="0.3">
      <c r="A14" s="17" t="s">
        <v>1</v>
      </c>
      <c r="B14" s="18">
        <v>4220</v>
      </c>
      <c r="C14" s="33">
        <f t="shared" si="0"/>
        <v>4220</v>
      </c>
    </row>
    <row r="15" spans="1:5" ht="20.25" x14ac:dyDescent="0.3">
      <c r="A15" s="17" t="s">
        <v>2</v>
      </c>
      <c r="B15" s="18">
        <v>1189</v>
      </c>
      <c r="C15" s="33">
        <f t="shared" si="0"/>
        <v>1189</v>
      </c>
    </row>
    <row r="16" spans="1:5" ht="20.25" x14ac:dyDescent="0.3">
      <c r="A16" s="17" t="s">
        <v>3</v>
      </c>
      <c r="B16" s="18">
        <v>9420</v>
      </c>
      <c r="C16" s="33">
        <f t="shared" si="0"/>
        <v>8478</v>
      </c>
    </row>
    <row r="17" spans="1:3" ht="20.25" x14ac:dyDescent="0.3">
      <c r="A17" s="17" t="s">
        <v>4</v>
      </c>
      <c r="B17" s="18">
        <v>2901</v>
      </c>
      <c r="C17" s="33">
        <f t="shared" si="0"/>
        <v>2901</v>
      </c>
    </row>
    <row r="18" spans="1:3" x14ac:dyDescent="0.25">
      <c r="A18" s="1"/>
    </row>
  </sheetData>
  <mergeCells count="1">
    <mergeCell ref="A1:C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tabSelected="1" zoomScale="115" zoomScaleNormal="115" workbookViewId="0">
      <selection activeCell="D20" sqref="D20"/>
    </sheetView>
  </sheetViews>
  <sheetFormatPr defaultRowHeight="15" x14ac:dyDescent="0.25"/>
  <cols>
    <col min="1" max="1" width="11.7109375" style="9" bestFit="1" customWidth="1"/>
    <col min="2" max="2" width="12.28515625" style="9" bestFit="1" customWidth="1"/>
    <col min="3" max="3" width="13.28515625" style="9" bestFit="1" customWidth="1"/>
    <col min="4" max="4" width="96.5703125" style="9" customWidth="1"/>
    <col min="5" max="5" width="12.28515625" style="9" bestFit="1" customWidth="1"/>
    <col min="6" max="6" width="10.7109375" style="9" bestFit="1" customWidth="1"/>
    <col min="7" max="7" width="12.28515625" style="9" bestFit="1" customWidth="1"/>
    <col min="8" max="8" width="11.85546875" style="9" customWidth="1"/>
    <col min="9" max="9" width="9.5703125" style="9" customWidth="1"/>
    <col min="10" max="16384" width="9.140625" style="9"/>
  </cols>
  <sheetData>
    <row r="1" spans="1:5" ht="48" customHeight="1" x14ac:dyDescent="0.25">
      <c r="A1" s="40" t="s">
        <v>53</v>
      </c>
      <c r="B1" s="41"/>
      <c r="C1" s="41"/>
      <c r="D1" s="42"/>
      <c r="E1" s="8"/>
    </row>
    <row r="2" spans="1:5" s="10" customFormat="1" ht="45" x14ac:dyDescent="0.25">
      <c r="A2" s="29" t="s">
        <v>21</v>
      </c>
      <c r="B2" s="29" t="s">
        <v>32</v>
      </c>
      <c r="C2" s="29" t="s">
        <v>54</v>
      </c>
      <c r="D2" s="29" t="s">
        <v>55</v>
      </c>
    </row>
    <row r="3" spans="1:5" ht="23.25" x14ac:dyDescent="0.35">
      <c r="A3" s="11" t="s">
        <v>23</v>
      </c>
      <c r="B3" s="12">
        <v>85.9</v>
      </c>
      <c r="C3" s="13">
        <v>5</v>
      </c>
      <c r="D3" s="34">
        <f>IF(C3&gt;15,(B3*C3)+(C3*3.5),IF(C3=15,(B3*C3)+(C3*3.95),(B3*C3)+(C3*4.1)))</f>
        <v>450</v>
      </c>
    </row>
    <row r="4" spans="1:5" ht="23.25" x14ac:dyDescent="0.35">
      <c r="A4" s="11" t="s">
        <v>24</v>
      </c>
      <c r="B4" s="12">
        <v>85.9</v>
      </c>
      <c r="C4" s="13">
        <v>15</v>
      </c>
      <c r="D4" s="34">
        <f t="shared" ref="D4:D11" si="0">IF(C4&gt;15,(B4*C4)+(C4*3.5),IF(C4=15,(B4*C4)+(C4*3.95),(B4*C4)+(C4*4.1)))</f>
        <v>1347.75</v>
      </c>
    </row>
    <row r="5" spans="1:5" ht="23.25" x14ac:dyDescent="0.35">
      <c r="A5" s="11" t="s">
        <v>25</v>
      </c>
      <c r="B5" s="12">
        <v>85.9</v>
      </c>
      <c r="C5" s="13">
        <v>12</v>
      </c>
      <c r="D5" s="34">
        <f t="shared" si="0"/>
        <v>1080.0000000000002</v>
      </c>
    </row>
    <row r="6" spans="1:5" ht="23.25" x14ac:dyDescent="0.35">
      <c r="A6" s="11" t="s">
        <v>26</v>
      </c>
      <c r="B6" s="12">
        <v>85.9</v>
      </c>
      <c r="C6" s="13">
        <v>18</v>
      </c>
      <c r="D6" s="34">
        <f t="shared" si="0"/>
        <v>1609.2</v>
      </c>
    </row>
    <row r="7" spans="1:5" ht="23.25" x14ac:dyDescent="0.35">
      <c r="A7" s="11" t="s">
        <v>27</v>
      </c>
      <c r="B7" s="12">
        <v>85.9</v>
      </c>
      <c r="C7" s="13">
        <v>13</v>
      </c>
      <c r="D7" s="34">
        <f t="shared" si="0"/>
        <v>1170</v>
      </c>
    </row>
    <row r="8" spans="1:5" ht="23.25" x14ac:dyDescent="0.35">
      <c r="A8" s="11" t="s">
        <v>28</v>
      </c>
      <c r="B8" s="12">
        <v>85.9</v>
      </c>
      <c r="C8" s="13">
        <v>30</v>
      </c>
      <c r="D8" s="34">
        <f t="shared" si="0"/>
        <v>2682</v>
      </c>
    </row>
    <row r="9" spans="1:5" ht="23.25" x14ac:dyDescent="0.35">
      <c r="A9" s="11" t="s">
        <v>29</v>
      </c>
      <c r="B9" s="12">
        <v>85.9</v>
      </c>
      <c r="C9" s="13">
        <v>25</v>
      </c>
      <c r="D9" s="34">
        <f t="shared" si="0"/>
        <v>2235</v>
      </c>
    </row>
    <row r="10" spans="1:5" ht="23.25" x14ac:dyDescent="0.35">
      <c r="A10" s="11" t="s">
        <v>30</v>
      </c>
      <c r="B10" s="12">
        <v>85.9</v>
      </c>
      <c r="C10" s="13">
        <v>21</v>
      </c>
      <c r="D10" s="34">
        <f t="shared" si="0"/>
        <v>1877.4</v>
      </c>
    </row>
    <row r="11" spans="1:5" ht="23.25" x14ac:dyDescent="0.35">
      <c r="A11" s="11" t="s">
        <v>31</v>
      </c>
      <c r="B11" s="12">
        <v>85.9</v>
      </c>
      <c r="C11" s="13">
        <v>12</v>
      </c>
      <c r="D11" s="34">
        <f t="shared" si="0"/>
        <v>1080.0000000000002</v>
      </c>
    </row>
    <row r="12" spans="1:5" x14ac:dyDescent="0.25">
      <c r="C12" s="14"/>
    </row>
    <row r="13" spans="1:5" x14ac:dyDescent="0.25">
      <c r="B13" s="15"/>
    </row>
    <row r="15" spans="1:5" x14ac:dyDescent="0.25">
      <c r="B15" s="15"/>
    </row>
    <row r="16" spans="1:5" x14ac:dyDescent="0.25">
      <c r="C16" s="1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01</vt:lpstr>
      <vt:lpstr>02</vt:lpstr>
      <vt:lpstr>03</vt:lpstr>
      <vt:lpstr>04</vt:lpstr>
      <vt:lpstr>05</vt:lpstr>
      <vt:lpstr>06</vt:lpstr>
      <vt:lpstr>gjnk11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LEONID CAREAGA CAMELO</dc:creator>
  <cp:lastModifiedBy>WILCK GOMES DE OLIVEIRA</cp:lastModifiedBy>
  <dcterms:created xsi:type="dcterms:W3CDTF">2008-08-17T17:03:38Z</dcterms:created>
  <dcterms:modified xsi:type="dcterms:W3CDTF">2026-04-01T00:09:17Z</dcterms:modified>
</cp:coreProperties>
</file>