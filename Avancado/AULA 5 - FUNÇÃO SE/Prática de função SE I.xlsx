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AULA 5 - FUNÇÃO SE\"/>
    </mc:Choice>
  </mc:AlternateContent>
  <xr:revisionPtr revIDLastSave="0" documentId="13_ncr:1_{F13FA473-5DDB-47D8-9C9B-36A910737F1F}" xr6:coauthVersionLast="36" xr6:coauthVersionMax="36" xr10:uidLastSave="{00000000-0000-0000-0000-000000000000}"/>
  <bookViews>
    <workbookView xWindow="0" yWindow="0" windowWidth="28800" windowHeight="12105" activeTab="9" xr2:uid="{00000000-000D-0000-FFFF-FFFF00000000}"/>
  </bookViews>
  <sheets>
    <sheet name="01" sheetId="13" r:id="rId1"/>
    <sheet name="02" sheetId="12" r:id="rId2"/>
    <sheet name="03" sheetId="14" r:id="rId3"/>
    <sheet name="04" sheetId="15" r:id="rId4"/>
    <sheet name="05" sheetId="16" r:id="rId5"/>
    <sheet name="06" sheetId="17" r:id="rId6"/>
    <sheet name="07" sheetId="20" r:id="rId7"/>
    <sheet name="08" sheetId="22" r:id="rId8"/>
    <sheet name="09" sheetId="23" r:id="rId9"/>
    <sheet name="10" sheetId="24" r:id="rId10"/>
  </sheets>
  <calcPr calcId="179021"/>
</workbook>
</file>

<file path=xl/calcChain.xml><?xml version="1.0" encoding="utf-8"?>
<calcChain xmlns="http://schemas.openxmlformats.org/spreadsheetml/2006/main">
  <c r="C3" i="24" l="1"/>
  <c r="C4" i="24"/>
  <c r="C5" i="24"/>
  <c r="C6" i="24"/>
  <c r="C7" i="24"/>
  <c r="C8" i="24"/>
  <c r="C9" i="24"/>
  <c r="C10" i="24"/>
  <c r="C11" i="24"/>
  <c r="C12" i="24"/>
  <c r="C2" i="24"/>
  <c r="C4" i="23"/>
  <c r="D4" i="23" s="1"/>
  <c r="E4" i="23" s="1"/>
  <c r="C5" i="23"/>
  <c r="D5" i="23"/>
  <c r="E5" i="23"/>
  <c r="C6" i="23"/>
  <c r="D6" i="23"/>
  <c r="E6" i="23"/>
  <c r="C7" i="23"/>
  <c r="D7" i="23"/>
  <c r="E7" i="23"/>
  <c r="C8" i="23"/>
  <c r="D8" i="23" s="1"/>
  <c r="E8" i="23" s="1"/>
  <c r="C9" i="23"/>
  <c r="D9" i="23"/>
  <c r="E9" i="23"/>
  <c r="C10" i="23"/>
  <c r="D10" i="23"/>
  <c r="E10" i="23"/>
  <c r="C11" i="23"/>
  <c r="D11" i="23"/>
  <c r="E11" i="23"/>
  <c r="C12" i="23"/>
  <c r="D12" i="23" s="1"/>
  <c r="E12" i="23" s="1"/>
  <c r="E3" i="23"/>
  <c r="D3" i="23"/>
  <c r="C3" i="23"/>
  <c r="C16" i="23"/>
  <c r="C17" i="23"/>
  <c r="C18" i="23"/>
  <c r="C19" i="23"/>
  <c r="C20" i="23"/>
  <c r="C21" i="23"/>
  <c r="C22" i="23"/>
  <c r="C23" i="23"/>
  <c r="C24" i="23"/>
  <c r="C15" i="23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20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3" i="22"/>
  <c r="C4" i="22"/>
  <c r="D4" i="22" s="1"/>
  <c r="C5" i="22"/>
  <c r="D5" i="22"/>
  <c r="C6" i="22"/>
  <c r="D6" i="22"/>
  <c r="C7" i="22"/>
  <c r="D7" i="22"/>
  <c r="C8" i="22"/>
  <c r="D8" i="22"/>
  <c r="C9" i="22"/>
  <c r="D9" i="22" s="1"/>
  <c r="C10" i="22"/>
  <c r="D10" i="22" s="1"/>
  <c r="C11" i="22"/>
  <c r="D11" i="22"/>
  <c r="C12" i="22"/>
  <c r="D12" i="22"/>
  <c r="C13" i="22"/>
  <c r="D13" i="22"/>
  <c r="C14" i="22"/>
  <c r="D14" i="22"/>
  <c r="C15" i="22"/>
  <c r="D15" i="22"/>
  <c r="C16" i="22"/>
  <c r="D16" i="22" s="1"/>
  <c r="C17" i="22"/>
  <c r="D17" i="22"/>
  <c r="D3" i="22"/>
  <c r="C3" i="22"/>
  <c r="B11" i="20"/>
  <c r="B12" i="20"/>
  <c r="B13" i="20"/>
  <c r="B14" i="20"/>
  <c r="B15" i="20"/>
  <c r="B10" i="20"/>
  <c r="D3" i="20"/>
  <c r="D4" i="20"/>
  <c r="D5" i="20"/>
  <c r="D6" i="20"/>
  <c r="D7" i="20"/>
  <c r="D2" i="20"/>
  <c r="C3" i="20"/>
  <c r="C4" i="20"/>
  <c r="C5" i="20"/>
  <c r="C6" i="20"/>
  <c r="C7" i="20"/>
  <c r="C2" i="20"/>
  <c r="B3" i="20"/>
  <c r="B4" i="20"/>
  <c r="B5" i="20"/>
  <c r="B6" i="20"/>
  <c r="B7" i="20"/>
  <c r="B2" i="20"/>
  <c r="B3" i="17"/>
  <c r="B4" i="17"/>
  <c r="B5" i="17"/>
  <c r="B6" i="17"/>
  <c r="B7" i="17"/>
  <c r="B8" i="17"/>
  <c r="B9" i="17"/>
  <c r="B10" i="17"/>
  <c r="B11" i="17"/>
  <c r="B2" i="17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3" i="16"/>
  <c r="E5" i="15"/>
  <c r="E6" i="15"/>
  <c r="E7" i="15"/>
  <c r="E8" i="15"/>
  <c r="E9" i="15"/>
  <c r="E10" i="15"/>
  <c r="E4" i="15"/>
  <c r="D4" i="14"/>
  <c r="D5" i="14"/>
  <c r="D6" i="14"/>
  <c r="D7" i="14"/>
  <c r="D3" i="14"/>
  <c r="I3" i="12"/>
  <c r="D12" i="12"/>
  <c r="D13" i="12"/>
  <c r="D14" i="12"/>
  <c r="D15" i="12"/>
  <c r="D11" i="12"/>
  <c r="D4" i="12"/>
  <c r="D5" i="12"/>
  <c r="D6" i="12"/>
  <c r="D7" i="12"/>
  <c r="D3" i="12"/>
  <c r="E4" i="13"/>
  <c r="F4" i="13"/>
  <c r="E5" i="13"/>
  <c r="F5" i="13"/>
  <c r="E6" i="13"/>
  <c r="F6" i="13"/>
  <c r="E7" i="13"/>
  <c r="F7" i="13"/>
  <c r="F3" i="13"/>
  <c r="E3" i="13"/>
  <c r="D5" i="15" l="1"/>
  <c r="D6" i="15"/>
  <c r="D7" i="15"/>
  <c r="D8" i="15"/>
  <c r="D9" i="15"/>
  <c r="D10" i="15"/>
  <c r="D4" i="15"/>
</calcChain>
</file>

<file path=xl/sharedStrings.xml><?xml version="1.0" encoding="utf-8"?>
<sst xmlns="http://schemas.openxmlformats.org/spreadsheetml/2006/main" count="177" uniqueCount="128">
  <si>
    <t>Recife</t>
  </si>
  <si>
    <t>Porto Alegre</t>
  </si>
  <si>
    <t>Manaus</t>
  </si>
  <si>
    <t>Curitiba</t>
  </si>
  <si>
    <t>Belém</t>
  </si>
  <si>
    <t>Clima</t>
  </si>
  <si>
    <t>Poluição</t>
  </si>
  <si>
    <t>Umidade</t>
  </si>
  <si>
    <t>Temperatura</t>
  </si>
  <si>
    <t>Cidade</t>
  </si>
  <si>
    <t>Limite de atratividade</t>
  </si>
  <si>
    <t>IBM</t>
  </si>
  <si>
    <t>Natura</t>
  </si>
  <si>
    <t>TAM</t>
  </si>
  <si>
    <t>Vale do Rio Doce</t>
  </si>
  <si>
    <t>Petrobrás</t>
  </si>
  <si>
    <t>Atratividade</t>
  </si>
  <si>
    <t>Risco</t>
  </si>
  <si>
    <t>Índice</t>
  </si>
  <si>
    <t>Ação</t>
  </si>
  <si>
    <t>Coluna Tempo: Se a temperatura for maior ou igual à temperatura limite, então "Calor", se não, "Frio"</t>
  </si>
  <si>
    <t>Coluna Clima: Se a umidade for maior ou igual à umidade limite, então "úmido", se não, "seco"</t>
  </si>
  <si>
    <t>Coluna Atratividade: Se o índice for menor que o Limite de atratividade, então "Boa", se não, "Ruim"</t>
  </si>
  <si>
    <t>Coluna Risco: Se o índice for menor que o limite de risco, então "Baixo", se não, "Alto"</t>
  </si>
  <si>
    <t>Índices de Analfabetismo</t>
  </si>
  <si>
    <t>Região</t>
  </si>
  <si>
    <t>Maior</t>
  </si>
  <si>
    <t>Estado</t>
  </si>
  <si>
    <t>Norte</t>
  </si>
  <si>
    <t>Nordeste</t>
  </si>
  <si>
    <t>Centro-Oeste</t>
  </si>
  <si>
    <t>Sudeste</t>
  </si>
  <si>
    <t>Sul</t>
  </si>
  <si>
    <t>Formatação</t>
  </si>
  <si>
    <t>Situação</t>
  </si>
  <si>
    <t>Planilha de Estoque</t>
  </si>
  <si>
    <t>Produtos</t>
  </si>
  <si>
    <t>Quantidade Comprada</t>
  </si>
  <si>
    <t>Quantidade Vendida</t>
  </si>
  <si>
    <t>Quantidade em Estoque</t>
  </si>
  <si>
    <t>Mouse</t>
  </si>
  <si>
    <t>Processador</t>
  </si>
  <si>
    <t>Impressora</t>
  </si>
  <si>
    <t>Scanner</t>
  </si>
  <si>
    <t>Modem</t>
  </si>
  <si>
    <t>Memória</t>
  </si>
  <si>
    <t>Pen Drive</t>
  </si>
  <si>
    <t>Tabela de Preços</t>
  </si>
  <si>
    <t>Produto</t>
  </si>
  <si>
    <t>Extra</t>
  </si>
  <si>
    <t>Carrefour</t>
  </si>
  <si>
    <t xml:space="preserve">Comprar em </t>
  </si>
  <si>
    <t>Valor</t>
  </si>
  <si>
    <t>Desconto</t>
  </si>
  <si>
    <t>Gisele</t>
  </si>
  <si>
    <t>Aline</t>
  </si>
  <si>
    <t>Keila</t>
  </si>
  <si>
    <t>Controle Agiot's Financeira</t>
  </si>
  <si>
    <t>Cliente</t>
  </si>
  <si>
    <t>Dívida</t>
  </si>
  <si>
    <t>Tip. Empréstimo</t>
  </si>
  <si>
    <t>Juros</t>
  </si>
  <si>
    <t>Total a Pagar</t>
  </si>
  <si>
    <t>Maria</t>
  </si>
  <si>
    <t>Laura</t>
  </si>
  <si>
    <t>Katia</t>
  </si>
  <si>
    <t>Sirlene</t>
  </si>
  <si>
    <t>Janaina</t>
  </si>
  <si>
    <t>Carol</t>
  </si>
  <si>
    <t>Andreia</t>
  </si>
  <si>
    <t>Monique</t>
  </si>
  <si>
    <t>Ivone</t>
  </si>
  <si>
    <t>Adriana</t>
  </si>
  <si>
    <t>Rose</t>
  </si>
  <si>
    <t>Alessandra</t>
  </si>
  <si>
    <t>CLIENTE</t>
  </si>
  <si>
    <t>COMPRA</t>
  </si>
  <si>
    <t>DESCONTO</t>
  </si>
  <si>
    <t>TOTAL A PAGAR</t>
  </si>
  <si>
    <t>Jussara</t>
  </si>
  <si>
    <t>Durvalina</t>
  </si>
  <si>
    <t>Maria Eunice</t>
  </si>
  <si>
    <t>Cida</t>
  </si>
  <si>
    <t>Sandra</t>
  </si>
  <si>
    <t>Agenor</t>
  </si>
  <si>
    <t>Jose Carlos</t>
  </si>
  <si>
    <t>Ivan</t>
  </si>
  <si>
    <t>Marcelo</t>
  </si>
  <si>
    <t>Reginaldo</t>
  </si>
  <si>
    <t>Taxa de Analfabetismo</t>
  </si>
  <si>
    <t>Situação: Se a taxa de analfabetismo for mair ou igual a margem Tolerável então Notificar governo federal, caso contrário Situação OK</t>
  </si>
  <si>
    <t>Valor do Desconto</t>
  </si>
  <si>
    <t>Valor do Produto</t>
  </si>
  <si>
    <t>VALOR DE DESCONTO</t>
  </si>
  <si>
    <t>Limite de Risco</t>
  </si>
  <si>
    <t>Temperatura Limite</t>
  </si>
  <si>
    <t>Umidade Limite</t>
  </si>
  <si>
    <t>Condição Limite</t>
  </si>
  <si>
    <t>Relatório TEMPO</t>
  </si>
  <si>
    <t>Relatório CLIMA</t>
  </si>
  <si>
    <t>Relatório POLUIÇÃO</t>
  </si>
  <si>
    <t>Coluna Poluição: Se a poluição for menor ou igual a condição limite, então "boa", se não, "ruim"</t>
  </si>
  <si>
    <t>Margem Tolerável</t>
  </si>
  <si>
    <t>Calcule a quantidade em estoque na coluna D. Após o cálculo, aplique na coluna E a função SE, onde para quantidades EM ESTOQUE MENORES que 50, deverão trazer como resposta FAZER NOVA COMPRA, senão, ESTOQUE OK.</t>
  </si>
  <si>
    <t>Arroz - 5kg</t>
  </si>
  <si>
    <t>Feijão - 1kg</t>
  </si>
  <si>
    <t>Sal - 1kg</t>
  </si>
  <si>
    <t>Açucar - 1kg</t>
  </si>
  <si>
    <t>Sabão em Pó - 1 Kg</t>
  </si>
  <si>
    <t>Achocolatado - 500 g</t>
  </si>
  <si>
    <t>Leite - 1l</t>
  </si>
  <si>
    <t>Farina de Trigo - 1 Kg</t>
  </si>
  <si>
    <t>Farinha de Rosca - 500 g</t>
  </si>
  <si>
    <t>Iogurte - 200 ml</t>
  </si>
  <si>
    <t>Queijo - 450 g</t>
  </si>
  <si>
    <t>Óleo - 1l</t>
  </si>
  <si>
    <t>Papel Higiênico - 20 uni</t>
  </si>
  <si>
    <t>Macarrão - 400 g</t>
  </si>
  <si>
    <t>Pão Integral - 400 g</t>
  </si>
  <si>
    <t>VALOR 2</t>
  </si>
  <si>
    <t>VALOR 1</t>
  </si>
  <si>
    <t>RESULTADO DA SUBTRAÇÃO</t>
  </si>
  <si>
    <t>Situação do Estoque</t>
  </si>
  <si>
    <t>Se o valor do produto for maior ou igual a R$600,00 o cliente receberá 10% de desconto, caso contrário, 2%.</t>
  </si>
  <si>
    <t>Dado 2 valores calcule a DIFERENÇA entre eles, onde essa diferença terá que ser sempre POSITIVA.</t>
  </si>
  <si>
    <t>Lista de Orçamento</t>
  </si>
  <si>
    <t>Valor do Produto com Desconto</t>
  </si>
  <si>
    <t>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</si>
</sst>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0.0%"/>
    <numFmt numFmtId="167" formatCode="_(&quot;R$ &quot;* #,##0.00_);_(&quot;R$ &quot;* \(#,##0.00\);_(&quot;R$ &quot;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sz val="11"/>
      <color theme="1"/>
      <name val="Italic"/>
    </font>
    <font>
      <b/>
      <i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i/>
      <sz val="20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i/>
      <sz val="14"/>
      <color theme="0"/>
      <name val="Times New Roman"/>
      <family val="1"/>
    </font>
    <font>
      <b/>
      <i/>
      <sz val="11"/>
      <color theme="0"/>
      <name val="Times New Roman"/>
      <family val="1"/>
    </font>
    <font>
      <b/>
      <sz val="12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sz val="12"/>
      <color theme="0"/>
      <name val="Times New Roman"/>
      <family val="1"/>
    </font>
    <font>
      <i/>
      <sz val="18"/>
      <color theme="1"/>
      <name val="Times New Roman"/>
      <family val="1"/>
    </font>
    <font>
      <sz val="14"/>
      <color rgb="FFFF0000"/>
      <name val="Times New Roman"/>
      <family val="1"/>
    </font>
    <font>
      <sz val="11"/>
      <color theme="0"/>
      <name val="Times New Roman"/>
      <family val="1"/>
    </font>
    <font>
      <i/>
      <sz val="11"/>
      <color theme="0"/>
      <name val="Times New Roman"/>
      <family val="1"/>
    </font>
    <font>
      <sz val="11"/>
      <color rgb="FFFF0000"/>
      <name val="Times New Roman"/>
      <family val="1"/>
    </font>
    <font>
      <b/>
      <i/>
      <sz val="11"/>
      <name val="Times New Roman"/>
      <family val="1"/>
    </font>
    <font>
      <b/>
      <i/>
      <sz val="16"/>
      <color theme="0"/>
      <name val="Times New Roman"/>
      <family val="1"/>
    </font>
    <font>
      <b/>
      <sz val="16"/>
      <color theme="1"/>
      <name val="Arial Black"/>
      <family val="2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1"/>
        </stop>
        <stop position="0.5">
          <color theme="3" tint="-0.25098422193060094"/>
        </stop>
        <stop position="1">
          <color theme="1"/>
        </stop>
      </gradient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gradientFill degree="90">
        <stop position="0">
          <color rgb="FFFFFF00"/>
        </stop>
        <stop position="0.5">
          <color theme="9" tint="-0.25098422193060094"/>
        </stop>
        <stop position="1">
          <color rgb="FFFFFF00"/>
        </stop>
      </gradientFill>
    </fill>
    <fill>
      <gradientFill degree="90">
        <stop position="0">
          <color theme="1"/>
        </stop>
        <stop position="0.5">
          <color rgb="FF00B0F0"/>
        </stop>
        <stop position="1">
          <color theme="1"/>
        </stop>
      </gradientFill>
    </fill>
    <fill>
      <gradientFill degree="90">
        <stop position="0">
          <color rgb="FF00B050"/>
        </stop>
        <stop position="0.5">
          <color rgb="FF92D050"/>
        </stop>
        <stop position="1">
          <color rgb="FF00B050"/>
        </stop>
      </gradientFill>
    </fill>
    <fill>
      <gradientFill degree="90">
        <stop position="0">
          <color theme="6" tint="-0.49803155613879818"/>
        </stop>
        <stop position="0.5">
          <color rgb="FF92D050"/>
        </stop>
        <stop position="1">
          <color theme="6" tint="-0.49803155613879818"/>
        </stop>
      </gradientFill>
    </fill>
    <fill>
      <gradientFill degree="90">
        <stop position="0">
          <color theme="1"/>
        </stop>
        <stop position="0.5">
          <color theme="0" tint="-0.25098422193060094"/>
        </stop>
        <stop position="1">
          <color theme="1"/>
        </stop>
      </gradientFill>
    </fill>
    <fill>
      <gradientFill degree="90">
        <stop position="0">
          <color theme="4" tint="0.59999389629810485"/>
        </stop>
        <stop position="0.5">
          <color rgb="FF002060"/>
        </stop>
        <stop position="1">
          <color theme="4" tint="0.59999389629810485"/>
        </stop>
      </gradientFill>
    </fill>
    <fill>
      <gradientFill degree="90">
        <stop position="0">
          <color theme="1" tint="0.34900967436750391"/>
        </stop>
        <stop position="0.5">
          <color theme="0" tint="-0.25098422193060094"/>
        </stop>
        <stop position="1">
          <color theme="1" tint="0.34900967436750391"/>
        </stop>
      </gradientFill>
    </fill>
    <fill>
      <gradientFill degree="90">
        <stop position="0">
          <color theme="3"/>
        </stop>
        <stop position="0.5">
          <color theme="4" tint="0.80001220740379042"/>
        </stop>
        <stop position="1">
          <color theme="3"/>
        </stop>
      </gradientFill>
    </fill>
    <fill>
      <gradientFill degree="90">
        <stop position="0">
          <color theme="9" tint="-0.25098422193060094"/>
        </stop>
        <stop position="0.5">
          <color theme="9" tint="0.59999389629810485"/>
        </stop>
        <stop position="1">
          <color theme="9" tint="-0.25098422193060094"/>
        </stop>
      </gradientFill>
    </fill>
    <fill>
      <gradientFill degree="90">
        <stop position="0">
          <color rgb="FF92D050"/>
        </stop>
        <stop position="0.5">
          <color theme="1"/>
        </stop>
        <stop position="1">
          <color rgb="FF92D050"/>
        </stop>
      </gradientFill>
    </fill>
    <fill>
      <gradientFill degree="90">
        <stop position="0">
          <color rgb="FF92D050"/>
        </stop>
        <stop position="0.5">
          <color theme="6" tint="0.59999389629810485"/>
        </stop>
        <stop position="1">
          <color rgb="FF92D050"/>
        </stop>
      </gradientFill>
    </fill>
    <fill>
      <gradientFill degree="90">
        <stop position="0">
          <color rgb="FFFFFF00"/>
        </stop>
        <stop position="0.5">
          <color theme="0" tint="-0.1490218817712943"/>
        </stop>
        <stop position="1">
          <color rgb="FFFFFF00"/>
        </stop>
      </gradientFill>
    </fill>
    <fill>
      <gradientFill degree="90">
        <stop position="0">
          <color rgb="FF66FFFF"/>
        </stop>
        <stop position="0.5">
          <color theme="8" tint="0.80001220740379042"/>
        </stop>
        <stop position="1">
          <color rgb="FF66FFFF"/>
        </stop>
      </gradientFill>
    </fill>
    <fill>
      <gradientFill degree="90">
        <stop position="0">
          <color theme="8" tint="0.59999389629810485"/>
        </stop>
        <stop position="0.5">
          <color theme="8" tint="0.80001220740379042"/>
        </stop>
        <stop position="1">
          <color theme="8" tint="0.59999389629810485"/>
        </stop>
      </gradientFill>
    </fill>
    <fill>
      <gradientFill degree="90">
        <stop position="0">
          <color theme="0" tint="-0.49803155613879818"/>
        </stop>
        <stop position="0.5">
          <color theme="1"/>
        </stop>
        <stop position="1">
          <color theme="0" tint="-0.49803155613879818"/>
        </stop>
      </gradientFill>
    </fill>
    <fill>
      <gradientFill degree="90">
        <stop position="0">
          <color rgb="FF00B0F0"/>
        </stop>
        <stop position="0.5">
          <color theme="8" tint="0.80001220740379042"/>
        </stop>
        <stop position="1">
          <color rgb="FF00B0F0"/>
        </stop>
      </gradientFill>
    </fill>
    <fill>
      <gradientFill degree="90">
        <stop position="0">
          <color theme="3"/>
        </stop>
        <stop position="0.5">
          <color theme="4" tint="0.59999389629810485"/>
        </stop>
        <stop position="1">
          <color theme="3"/>
        </stop>
      </gradientFill>
    </fill>
    <fill>
      <gradientFill degree="90">
        <stop position="0">
          <color theme="4" tint="0.59999389629810485"/>
        </stop>
        <stop position="0.5">
          <color theme="3"/>
        </stop>
        <stop position="1">
          <color theme="4" tint="0.59999389629810485"/>
        </stop>
      </gradientFill>
    </fill>
    <fill>
      <patternFill patternType="solid">
        <fgColor rgb="FF08828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1" xfId="0" applyFont="1" applyBorder="1"/>
    <xf numFmtId="44" fontId="5" fillId="0" borderId="1" xfId="1" applyFont="1" applyBorder="1"/>
    <xf numFmtId="167" fontId="5" fillId="0" borderId="1" xfId="0" applyNumberFormat="1" applyFont="1" applyBorder="1"/>
    <xf numFmtId="0" fontId="6" fillId="0" borderId="0" xfId="0" applyFont="1"/>
    <xf numFmtId="164" fontId="5" fillId="0" borderId="1" xfId="3" applyFont="1" applyBorder="1"/>
    <xf numFmtId="0" fontId="5" fillId="0" borderId="1" xfId="0" applyFont="1" applyBorder="1" applyAlignment="1">
      <alignment horizontal="center"/>
    </xf>
    <xf numFmtId="0" fontId="9" fillId="0" borderId="0" xfId="0" applyFont="1" applyFill="1" applyAlignment="1">
      <alignment horizontal="center" vertical="center" wrapText="1"/>
    </xf>
    <xf numFmtId="0" fontId="11" fillId="0" borderId="0" xfId="0" applyFont="1"/>
    <xf numFmtId="44" fontId="12" fillId="0" borderId="1" xfId="1" applyFont="1" applyBorder="1"/>
    <xf numFmtId="9" fontId="10" fillId="0" borderId="1" xfId="2" applyFont="1" applyBorder="1" applyAlignment="1">
      <alignment horizontal="center"/>
    </xf>
    <xf numFmtId="164" fontId="11" fillId="0" borderId="0" xfId="0" applyNumberFormat="1" applyFont="1"/>
    <xf numFmtId="167" fontId="11" fillId="0" borderId="0" xfId="0" applyNumberFormat="1" applyFont="1"/>
    <xf numFmtId="0" fontId="13" fillId="15" borderId="1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3" borderId="14" xfId="0" applyFont="1" applyFill="1" applyBorder="1" applyAlignment="1">
      <alignment horizontal="center" vertical="center"/>
    </xf>
    <xf numFmtId="0" fontId="15" fillId="13" borderId="14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5" fillId="0" borderId="0" xfId="0" applyFont="1" applyFill="1"/>
    <xf numFmtId="0" fontId="5" fillId="0" borderId="1" xfId="0" applyFont="1" applyBorder="1" applyAlignment="1">
      <alignment horizontal="left"/>
    </xf>
    <xf numFmtId="44" fontId="5" fillId="0" borderId="1" xfId="1" applyFont="1" applyBorder="1" applyAlignment="1">
      <alignment horizontal="center"/>
    </xf>
    <xf numFmtId="44" fontId="16" fillId="5" borderId="1" xfId="1" applyFont="1" applyFill="1" applyBorder="1" applyAlignment="1">
      <alignment horizontal="center"/>
    </xf>
    <xf numFmtId="0" fontId="18" fillId="17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Fill="1" applyBorder="1" applyAlignment="1">
      <alignment vertical="center" wrapText="1"/>
    </xf>
    <xf numFmtId="0" fontId="5" fillId="2" borderId="1" xfId="0" applyFont="1" applyFill="1" applyBorder="1"/>
    <xf numFmtId="166" fontId="5" fillId="2" borderId="1" xfId="0" applyNumberFormat="1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21" fillId="0" borderId="0" xfId="0" applyFont="1" applyFill="1" applyBorder="1"/>
    <xf numFmtId="0" fontId="22" fillId="0" borderId="0" xfId="0" applyFont="1" applyFill="1" applyBorder="1" applyAlignment="1"/>
    <xf numFmtId="0" fontId="21" fillId="0" borderId="0" xfId="0" applyFont="1" applyFill="1" applyBorder="1" applyAlignment="1">
      <alignment vertical="center"/>
    </xf>
    <xf numFmtId="0" fontId="23" fillId="0" borderId="0" xfId="0" applyFont="1" applyFill="1" applyBorder="1"/>
    <xf numFmtId="0" fontId="2" fillId="21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6" borderId="1" xfId="0" applyFont="1" applyFill="1" applyBorder="1"/>
    <xf numFmtId="165" fontId="5" fillId="2" borderId="1" xfId="0" applyNumberFormat="1" applyFont="1" applyFill="1" applyBorder="1" applyAlignment="1">
      <alignment horizontal="center"/>
    </xf>
    <xf numFmtId="0" fontId="5" fillId="2" borderId="1" xfId="2" applyNumberFormat="1" applyFont="1" applyFill="1" applyBorder="1" applyAlignment="1">
      <alignment horizontal="center"/>
    </xf>
    <xf numFmtId="9" fontId="6" fillId="0" borderId="1" xfId="2" applyFont="1" applyFill="1" applyBorder="1" applyAlignment="1">
      <alignment horizontal="center"/>
    </xf>
    <xf numFmtId="9" fontId="5" fillId="2" borderId="1" xfId="2" applyFont="1" applyFill="1" applyBorder="1" applyAlignment="1">
      <alignment horizontal="center"/>
    </xf>
    <xf numFmtId="166" fontId="5" fillId="2" borderId="1" xfId="2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center"/>
    </xf>
    <xf numFmtId="9" fontId="5" fillId="0" borderId="0" xfId="2" applyFont="1" applyFill="1" applyBorder="1" applyAlignment="1">
      <alignment horizontal="center"/>
    </xf>
    <xf numFmtId="9" fontId="5" fillId="0" borderId="0" xfId="2" applyFont="1" applyFill="1"/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5" fillId="7" borderId="1" xfId="0" applyFont="1" applyFill="1" applyBorder="1"/>
    <xf numFmtId="9" fontId="5" fillId="7" borderId="1" xfId="2" applyFont="1" applyFill="1" applyBorder="1" applyAlignment="1">
      <alignment horizontal="center"/>
    </xf>
    <xf numFmtId="9" fontId="5" fillId="0" borderId="1" xfId="2" applyFont="1" applyFill="1" applyBorder="1" applyAlignment="1">
      <alignment horizontal="center"/>
    </xf>
    <xf numFmtId="9" fontId="6" fillId="0" borderId="1" xfId="0" applyNumberFormat="1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 vertical="center"/>
    </xf>
    <xf numFmtId="0" fontId="24" fillId="24" borderId="1" xfId="0" applyFont="1" applyFill="1" applyBorder="1" applyAlignment="1">
      <alignment horizontal="center" vertical="center" wrapText="1"/>
    </xf>
    <xf numFmtId="0" fontId="15" fillId="2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10" fontId="11" fillId="0" borderId="0" xfId="0" applyNumberFormat="1" applyFont="1"/>
    <xf numFmtId="44" fontId="12" fillId="0" borderId="1" xfId="1" applyNumberFormat="1" applyFont="1" applyBorder="1"/>
    <xf numFmtId="44" fontId="11" fillId="0" borderId="0" xfId="0" applyNumberFormat="1" applyFont="1"/>
    <xf numFmtId="0" fontId="5" fillId="26" borderId="0" xfId="0" applyFont="1" applyFill="1"/>
    <xf numFmtId="0" fontId="5" fillId="26" borderId="0" xfId="0" applyFont="1" applyFill="1" applyAlignment="1">
      <alignment horizontal="center" vertical="center"/>
    </xf>
    <xf numFmtId="44" fontId="10" fillId="0" borderId="1" xfId="0" applyNumberFormat="1" applyFont="1" applyBorder="1"/>
    <xf numFmtId="43" fontId="5" fillId="0" borderId="0" xfId="0" applyNumberFormat="1" applyFont="1"/>
    <xf numFmtId="44" fontId="5" fillId="0" borderId="1" xfId="1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10" fontId="5" fillId="0" borderId="1" xfId="2" applyNumberFormat="1" applyFont="1" applyBorder="1" applyAlignment="1">
      <alignment horizontal="center" vertical="center"/>
    </xf>
    <xf numFmtId="10" fontId="5" fillId="0" borderId="0" xfId="0" applyNumberFormat="1" applyFont="1"/>
    <xf numFmtId="9" fontId="5" fillId="0" borderId="1" xfId="2" applyNumberFormat="1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3" borderId="3" xfId="0" applyFont="1" applyFill="1" applyBorder="1" applyAlignment="1">
      <alignment horizontal="center"/>
    </xf>
    <xf numFmtId="0" fontId="7" fillId="23" borderId="4" xfId="0" applyFont="1" applyFill="1" applyBorder="1" applyAlignment="1">
      <alignment horizontal="center"/>
    </xf>
    <xf numFmtId="0" fontId="7" fillId="23" borderId="1" xfId="0" applyFont="1" applyFill="1" applyBorder="1" applyAlignment="1">
      <alignment horizontal="center"/>
    </xf>
    <xf numFmtId="0" fontId="17" fillId="20" borderId="1" xfId="0" applyFont="1" applyFill="1" applyBorder="1" applyAlignment="1">
      <alignment horizontal="center"/>
    </xf>
    <xf numFmtId="0" fontId="21" fillId="22" borderId="0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/>
    </xf>
    <xf numFmtId="0" fontId="19" fillId="18" borderId="3" xfId="0" applyFont="1" applyFill="1" applyBorder="1" applyAlignment="1">
      <alignment horizontal="center" vertical="center"/>
    </xf>
    <xf numFmtId="0" fontId="19" fillId="1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1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8" fillId="12" borderId="15" xfId="0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0" fontId="8" fillId="12" borderId="17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2" fillId="12" borderId="0" xfId="0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</cellXfs>
  <cellStyles count="5">
    <cellStyle name="Moeda" xfId="1" builtinId="4"/>
    <cellStyle name="Normal" xfId="0" builtinId="0"/>
    <cellStyle name="Porcentagem" xfId="2" builtinId="5"/>
    <cellStyle name="Separador de milhares 2" xfId="4" xr:uid="{00000000-0005-0000-0000-000003000000}"/>
    <cellStyle name="Vírgula" xfId="3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FFFF99"/>
      <color rgb="FF66FFFF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582010</xdr:colOff>
      <xdr:row>18</xdr:row>
      <xdr:rowOff>17408</xdr:rowOff>
    </xdr:from>
    <xdr:to>
      <xdr:col>3</xdr:col>
      <xdr:colOff>0</xdr:colOff>
      <xdr:row>20</xdr:row>
      <xdr:rowOff>99391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82010" y="3620343"/>
          <a:ext cx="3857468" cy="462983"/>
        </a:xfrm>
        <a:prstGeom prst="rect">
          <a:avLst/>
        </a:prstGeom>
        <a:gradFill>
          <a:gsLst>
            <a:gs pos="0">
              <a:schemeClr val="accent1">
                <a:shade val="51000"/>
                <a:satMod val="130000"/>
              </a:schemeClr>
            </a:gs>
            <a:gs pos="67000">
              <a:schemeClr val="bg2"/>
            </a:gs>
            <a:gs pos="100000">
              <a:schemeClr val="accent1">
                <a:shade val="94000"/>
                <a:satMod val="135000"/>
              </a:schemeClr>
            </a:gs>
          </a:gsLst>
        </a:gra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Se o preço do extra for menor que o preço do carrefour, então comprar no extra, senão, comprar no carrefour.</a:t>
          </a:r>
          <a:endParaRPr lang="pt-BR" sz="11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111293</xdr:colOff>
      <xdr:row>0</xdr:row>
      <xdr:rowOff>151899</xdr:rowOff>
    </xdr:from>
    <xdr:to>
      <xdr:col>9</xdr:col>
      <xdr:colOff>111292</xdr:colOff>
      <xdr:row>4</xdr:row>
      <xdr:rowOff>113799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723148" y="151899"/>
          <a:ext cx="4281236" cy="723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Apresentado os valores na coluna A, informe se este valor é positivo ou negativo utilizando a função SE.</a:t>
          </a:r>
        </a:p>
        <a:p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24478</xdr:colOff>
      <xdr:row>0</xdr:row>
      <xdr:rowOff>75961</xdr:rowOff>
    </xdr:from>
    <xdr:to>
      <xdr:col>9</xdr:col>
      <xdr:colOff>490855</xdr:colOff>
      <xdr:row>4</xdr:row>
      <xdr:rowOff>155755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59" t="24013" r="22390" b="37747"/>
        <a:stretch/>
      </xdr:blipFill>
      <xdr:spPr>
        <a:xfrm>
          <a:off x="8371309" y="75961"/>
          <a:ext cx="1668432" cy="11210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17689</xdr:colOff>
      <xdr:row>0</xdr:row>
      <xdr:rowOff>235403</xdr:rowOff>
    </xdr:from>
    <xdr:to>
      <xdr:col>8</xdr:col>
      <xdr:colOff>606061</xdr:colOff>
      <xdr:row>5</xdr:row>
      <xdr:rowOff>109570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130" t="23351" r="30742" b="20328"/>
        <a:stretch/>
      </xdr:blipFill>
      <xdr:spPr>
        <a:xfrm>
          <a:off x="6056539" y="235403"/>
          <a:ext cx="1186542" cy="1542947"/>
        </a:xfrm>
        <a:prstGeom prst="rect">
          <a:avLst/>
        </a:prstGeom>
      </xdr:spPr>
    </xdr:pic>
    <xdr:clientData/>
  </xdr:twoCellAnchor>
  <xdr:twoCellAnchor editAs="oneCell">
    <xdr:from>
      <xdr:col>4</xdr:col>
      <xdr:colOff>208189</xdr:colOff>
      <xdr:row>57</xdr:row>
      <xdr:rowOff>35378</xdr:rowOff>
    </xdr:from>
    <xdr:to>
      <xdr:col>5</xdr:col>
      <xdr:colOff>118381</xdr:colOff>
      <xdr:row>65</xdr:row>
      <xdr:rowOff>71470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3508728F-9BB4-429A-A659-0683626345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130" t="23351" r="30742" b="20328"/>
        <a:stretch/>
      </xdr:blipFill>
      <xdr:spPr>
        <a:xfrm>
          <a:off x="4380139" y="11617778"/>
          <a:ext cx="1186542" cy="1542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="190" zoomScaleNormal="190" workbookViewId="0">
      <selection activeCell="E3" sqref="E3:F7"/>
    </sheetView>
  </sheetViews>
  <sheetFormatPr defaultRowHeight="15" x14ac:dyDescent="0.25"/>
  <cols>
    <col min="1" max="1" width="16.28515625" style="7" customWidth="1"/>
    <col min="2" max="2" width="9.85546875" style="7" customWidth="1"/>
    <col min="3" max="3" width="10.42578125" style="7" customWidth="1"/>
    <col min="4" max="4" width="13.28515625" style="7" customWidth="1"/>
    <col min="5" max="6" width="15.85546875" style="7" customWidth="1"/>
    <col min="7" max="16384" width="9.140625" style="7"/>
  </cols>
  <sheetData>
    <row r="1" spans="1:6" ht="20.25" x14ac:dyDescent="0.3">
      <c r="A1" s="83" t="s">
        <v>17</v>
      </c>
      <c r="B1" s="83"/>
      <c r="C1" s="83"/>
      <c r="D1" s="83"/>
      <c r="E1" s="83"/>
      <c r="F1" s="83"/>
    </row>
    <row r="2" spans="1:6" s="62" customFormat="1" ht="30" x14ac:dyDescent="0.25">
      <c r="A2" s="69" t="s">
        <v>19</v>
      </c>
      <c r="B2" s="69" t="s">
        <v>18</v>
      </c>
      <c r="C2" s="69" t="s">
        <v>94</v>
      </c>
      <c r="D2" s="69" t="s">
        <v>10</v>
      </c>
      <c r="E2" s="69" t="s">
        <v>17</v>
      </c>
      <c r="F2" s="69" t="s">
        <v>16</v>
      </c>
    </row>
    <row r="3" spans="1:6" x14ac:dyDescent="0.25">
      <c r="A3" s="63" t="s">
        <v>15</v>
      </c>
      <c r="B3" s="64">
        <v>0.28000000000000003</v>
      </c>
      <c r="C3" s="65">
        <v>0.5</v>
      </c>
      <c r="D3" s="65">
        <v>0.25</v>
      </c>
      <c r="E3" s="66" t="str">
        <f>IF(B3&lt;C3,"Baixo","Alto")</f>
        <v>Baixo</v>
      </c>
      <c r="F3" s="66" t="str">
        <f>IF(B3&lt;D3,"Boa","Ruim")</f>
        <v>Ruim</v>
      </c>
    </row>
    <row r="4" spans="1:6" x14ac:dyDescent="0.25">
      <c r="A4" s="63" t="s">
        <v>14</v>
      </c>
      <c r="B4" s="64">
        <v>0.38</v>
      </c>
      <c r="C4" s="65">
        <v>0.39</v>
      </c>
      <c r="D4" s="65">
        <v>0.39</v>
      </c>
      <c r="E4" s="66" t="str">
        <f t="shared" ref="E4:E7" si="0">IF(B4&lt;C4,"Baixo","Alto")</f>
        <v>Baixo</v>
      </c>
      <c r="F4" s="66" t="str">
        <f t="shared" ref="F4:F7" si="1">IF(B4&lt;D4,"Boa","Ruim")</f>
        <v>Boa</v>
      </c>
    </row>
    <row r="5" spans="1:6" x14ac:dyDescent="0.25">
      <c r="A5" s="63" t="s">
        <v>13</v>
      </c>
      <c r="B5" s="64">
        <v>0.52</v>
      </c>
      <c r="C5" s="65">
        <v>0.21</v>
      </c>
      <c r="D5" s="65">
        <v>0.32</v>
      </c>
      <c r="E5" s="66" t="str">
        <f t="shared" si="0"/>
        <v>Alto</v>
      </c>
      <c r="F5" s="66" t="str">
        <f t="shared" si="1"/>
        <v>Ruim</v>
      </c>
    </row>
    <row r="6" spans="1:6" x14ac:dyDescent="0.25">
      <c r="A6" s="63" t="s">
        <v>12</v>
      </c>
      <c r="B6" s="64">
        <v>0.47</v>
      </c>
      <c r="C6" s="65">
        <v>0.81</v>
      </c>
      <c r="D6" s="65">
        <v>0.5</v>
      </c>
      <c r="E6" s="66" t="str">
        <f t="shared" si="0"/>
        <v>Baixo</v>
      </c>
      <c r="F6" s="66" t="str">
        <f t="shared" si="1"/>
        <v>Boa</v>
      </c>
    </row>
    <row r="7" spans="1:6" x14ac:dyDescent="0.25">
      <c r="A7" s="63" t="s">
        <v>11</v>
      </c>
      <c r="B7" s="64">
        <v>0.59</v>
      </c>
      <c r="C7" s="65">
        <v>0.27</v>
      </c>
      <c r="D7" s="65">
        <v>0.24</v>
      </c>
      <c r="E7" s="66" t="str">
        <f t="shared" si="0"/>
        <v>Alto</v>
      </c>
      <c r="F7" s="66" t="str">
        <f t="shared" si="1"/>
        <v>Ruim</v>
      </c>
    </row>
    <row r="9" spans="1:6" x14ac:dyDescent="0.25">
      <c r="A9" s="7" t="s">
        <v>23</v>
      </c>
    </row>
    <row r="10" spans="1:6" x14ac:dyDescent="0.25">
      <c r="A10" s="7" t="s">
        <v>22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zoomScale="115" zoomScaleNormal="115" workbookViewId="0">
      <selection activeCell="I4" sqref="I4"/>
    </sheetView>
  </sheetViews>
  <sheetFormatPr defaultRowHeight="15" x14ac:dyDescent="0.25"/>
  <cols>
    <col min="1" max="2" width="15.28515625" style="7" customWidth="1"/>
    <col min="3" max="3" width="13.28515625" style="7" customWidth="1"/>
    <col min="4" max="4" width="15.28515625" style="7" customWidth="1"/>
    <col min="5" max="5" width="3" style="7" customWidth="1"/>
    <col min="6" max="7" width="15.28515625" style="7" customWidth="1"/>
    <col min="8" max="8" width="13" style="7" customWidth="1"/>
    <col min="9" max="9" width="15.28515625" style="7" customWidth="1"/>
    <col min="10" max="10" width="9.140625" style="7"/>
    <col min="11" max="11" width="9.140625" style="7" customWidth="1"/>
    <col min="12" max="16384" width="9.140625" style="7"/>
  </cols>
  <sheetData>
    <row r="1" spans="1:9" ht="20.25" x14ac:dyDescent="0.3">
      <c r="A1" s="84" t="s">
        <v>98</v>
      </c>
      <c r="B1" s="85"/>
      <c r="C1" s="85"/>
      <c r="D1" s="86"/>
      <c r="F1" s="87" t="s">
        <v>100</v>
      </c>
      <c r="G1" s="87"/>
      <c r="H1" s="87"/>
      <c r="I1" s="87"/>
    </row>
    <row r="2" spans="1:9" s="50" customFormat="1" ht="30" x14ac:dyDescent="0.25">
      <c r="A2" s="67" t="s">
        <v>9</v>
      </c>
      <c r="B2" s="67" t="s">
        <v>8</v>
      </c>
      <c r="C2" s="68" t="s">
        <v>95</v>
      </c>
      <c r="D2" s="67" t="s">
        <v>127</v>
      </c>
      <c r="F2" s="67" t="s">
        <v>9</v>
      </c>
      <c r="G2" s="67" t="s">
        <v>6</v>
      </c>
      <c r="H2" s="68" t="s">
        <v>97</v>
      </c>
      <c r="I2" s="67" t="s">
        <v>6</v>
      </c>
    </row>
    <row r="3" spans="1:9" x14ac:dyDescent="0.25">
      <c r="A3" s="51" t="s">
        <v>4</v>
      </c>
      <c r="B3" s="52">
        <v>32.299999999999997</v>
      </c>
      <c r="C3" s="53">
        <v>25</v>
      </c>
      <c r="D3" s="54" t="str">
        <f>IF(B3&gt;=C3,"Calor","Frio")</f>
        <v>Calor</v>
      </c>
      <c r="F3" s="51" t="s">
        <v>4</v>
      </c>
      <c r="G3" s="55">
        <v>0.01</v>
      </c>
      <c r="H3" s="56">
        <v>0.02</v>
      </c>
      <c r="I3" s="27" t="str">
        <f>IF(G3&gt;=H3,"boa","ruim")</f>
        <v>ruim</v>
      </c>
    </row>
    <row r="4" spans="1:9" x14ac:dyDescent="0.25">
      <c r="A4" s="51" t="s">
        <v>3</v>
      </c>
      <c r="B4" s="52">
        <v>23.9</v>
      </c>
      <c r="C4" s="53">
        <v>27</v>
      </c>
      <c r="D4" s="54" t="str">
        <f t="shared" ref="D4:D7" si="0">IF(B4&gt;=C4,"Calor","Frio")</f>
        <v>Frio</v>
      </c>
      <c r="E4" s="57"/>
      <c r="F4" s="51" t="s">
        <v>3</v>
      </c>
      <c r="G4" s="55">
        <v>0.03</v>
      </c>
      <c r="H4" s="56">
        <v>1.4999999999999999E-2</v>
      </c>
      <c r="I4" s="27"/>
    </row>
    <row r="5" spans="1:9" x14ac:dyDescent="0.25">
      <c r="A5" s="51" t="s">
        <v>2</v>
      </c>
      <c r="B5" s="52">
        <v>29.7</v>
      </c>
      <c r="C5" s="53">
        <v>26</v>
      </c>
      <c r="D5" s="54" t="str">
        <f t="shared" si="0"/>
        <v>Calor</v>
      </c>
      <c r="F5" s="51" t="s">
        <v>2</v>
      </c>
      <c r="G5" s="55">
        <v>0.02</v>
      </c>
      <c r="H5" s="56">
        <v>0.03</v>
      </c>
      <c r="I5" s="27"/>
    </row>
    <row r="6" spans="1:9" x14ac:dyDescent="0.25">
      <c r="A6" s="51" t="s">
        <v>1</v>
      </c>
      <c r="B6" s="52">
        <v>18.100000000000001</v>
      </c>
      <c r="C6" s="53">
        <v>30</v>
      </c>
      <c r="D6" s="54" t="str">
        <f t="shared" si="0"/>
        <v>Frio</v>
      </c>
      <c r="F6" s="51" t="s">
        <v>1</v>
      </c>
      <c r="G6" s="55">
        <v>0.03</v>
      </c>
      <c r="H6" s="56">
        <v>0.05</v>
      </c>
      <c r="I6" s="27"/>
    </row>
    <row r="7" spans="1:9" x14ac:dyDescent="0.25">
      <c r="A7" s="51" t="s">
        <v>0</v>
      </c>
      <c r="B7" s="52">
        <v>25</v>
      </c>
      <c r="C7" s="53">
        <v>35</v>
      </c>
      <c r="D7" s="54" t="str">
        <f t="shared" si="0"/>
        <v>Frio</v>
      </c>
      <c r="F7" s="51" t="s">
        <v>0</v>
      </c>
      <c r="G7" s="55">
        <v>0.02</v>
      </c>
      <c r="H7" s="56">
        <v>2.5000000000000001E-2</v>
      </c>
      <c r="I7" s="27"/>
    </row>
    <row r="8" spans="1:9" s="28" customFormat="1" x14ac:dyDescent="0.25">
      <c r="A8" s="39"/>
      <c r="B8" s="58"/>
      <c r="C8" s="58"/>
      <c r="D8" s="59"/>
      <c r="H8" s="60"/>
      <c r="I8" s="27"/>
    </row>
    <row r="9" spans="1:9" s="28" customFormat="1" ht="20.25" x14ac:dyDescent="0.3">
      <c r="A9" s="87" t="s">
        <v>99</v>
      </c>
      <c r="B9" s="87"/>
      <c r="C9" s="87"/>
      <c r="D9" s="87"/>
    </row>
    <row r="10" spans="1:9" s="61" customFormat="1" ht="30" customHeight="1" x14ac:dyDescent="0.25">
      <c r="A10" s="67" t="s">
        <v>9</v>
      </c>
      <c r="B10" s="67" t="s">
        <v>7</v>
      </c>
      <c r="C10" s="68" t="s">
        <v>96</v>
      </c>
      <c r="D10" s="67" t="s">
        <v>5</v>
      </c>
    </row>
    <row r="11" spans="1:9" s="28" customFormat="1" x14ac:dyDescent="0.25">
      <c r="A11" s="51" t="s">
        <v>4</v>
      </c>
      <c r="B11" s="55">
        <v>0.37</v>
      </c>
      <c r="C11" s="55">
        <v>0.5</v>
      </c>
      <c r="D11" s="27" t="str">
        <f>IF(B11&gt;=C11,"úmido","seco")</f>
        <v>seco</v>
      </c>
    </row>
    <row r="12" spans="1:9" s="28" customFormat="1" x14ac:dyDescent="0.25">
      <c r="A12" s="51" t="s">
        <v>3</v>
      </c>
      <c r="B12" s="55">
        <v>0.42</v>
      </c>
      <c r="C12" s="55">
        <v>0.56000000000000005</v>
      </c>
      <c r="D12" s="27" t="str">
        <f t="shared" ref="D12:D15" si="1">IF(B12&gt;=C12,"úmido","seco")</f>
        <v>seco</v>
      </c>
    </row>
    <row r="13" spans="1:9" s="28" customFormat="1" x14ac:dyDescent="0.25">
      <c r="A13" s="51" t="s">
        <v>2</v>
      </c>
      <c r="B13" s="55">
        <v>0.53</v>
      </c>
      <c r="C13" s="55">
        <v>0.54</v>
      </c>
      <c r="D13" s="27" t="str">
        <f t="shared" si="1"/>
        <v>seco</v>
      </c>
    </row>
    <row r="14" spans="1:9" s="28" customFormat="1" x14ac:dyDescent="0.25">
      <c r="A14" s="51" t="s">
        <v>1</v>
      </c>
      <c r="B14" s="55">
        <v>0.33</v>
      </c>
      <c r="C14" s="55">
        <v>0.45</v>
      </c>
      <c r="D14" s="27" t="str">
        <f t="shared" si="1"/>
        <v>seco</v>
      </c>
    </row>
    <row r="15" spans="1:9" s="28" customFormat="1" x14ac:dyDescent="0.25">
      <c r="A15" s="51" t="s">
        <v>0</v>
      </c>
      <c r="B15" s="55">
        <v>0.62</v>
      </c>
      <c r="C15" s="55">
        <v>0.49</v>
      </c>
      <c r="D15" s="27" t="str">
        <f t="shared" si="1"/>
        <v>úmido</v>
      </c>
    </row>
    <row r="16" spans="1:9" s="28" customFormat="1" x14ac:dyDescent="0.25">
      <c r="A16" s="39"/>
      <c r="B16" s="58"/>
      <c r="C16" s="58"/>
      <c r="D16" s="59"/>
    </row>
    <row r="17" spans="1:1" x14ac:dyDescent="0.25">
      <c r="A17" s="39" t="s">
        <v>20</v>
      </c>
    </row>
    <row r="18" spans="1:1" x14ac:dyDescent="0.25">
      <c r="A18" s="7" t="s">
        <v>21</v>
      </c>
    </row>
    <row r="19" spans="1:1" x14ac:dyDescent="0.25">
      <c r="A19" s="7" t="s">
        <v>101</v>
      </c>
    </row>
  </sheetData>
  <mergeCells count="3">
    <mergeCell ref="A1:D1"/>
    <mergeCell ref="A9:D9"/>
    <mergeCell ref="F1:I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zoomScale="150" zoomScaleNormal="150" workbookViewId="0">
      <selection activeCell="D3" sqref="D3:D7"/>
    </sheetView>
  </sheetViews>
  <sheetFormatPr defaultRowHeight="15" x14ac:dyDescent="0.25"/>
  <cols>
    <col min="1" max="3" width="15.7109375" style="39" customWidth="1"/>
    <col min="4" max="4" width="111.85546875" style="39" customWidth="1"/>
    <col min="5" max="16384" width="9.140625" style="39"/>
  </cols>
  <sheetData>
    <row r="1" spans="1:4" ht="19.5" x14ac:dyDescent="0.35">
      <c r="A1" s="88" t="s">
        <v>24</v>
      </c>
      <c r="B1" s="88"/>
      <c r="C1" s="88"/>
      <c r="D1" s="88"/>
    </row>
    <row r="2" spans="1:4" s="40" customFormat="1" ht="34.5" customHeight="1" x14ac:dyDescent="0.25">
      <c r="A2" s="49" t="s">
        <v>25</v>
      </c>
      <c r="B2" s="49" t="s">
        <v>89</v>
      </c>
      <c r="C2" s="49" t="s">
        <v>102</v>
      </c>
      <c r="D2" s="49" t="s">
        <v>34</v>
      </c>
    </row>
    <row r="3" spans="1:4" ht="18.75" x14ac:dyDescent="0.3">
      <c r="A3" s="41" t="s">
        <v>28</v>
      </c>
      <c r="B3" s="42">
        <v>2.5000000000000001E-2</v>
      </c>
      <c r="C3" s="42">
        <v>1.7999999999999999E-2</v>
      </c>
      <c r="D3" s="43" t="str">
        <f>IF(B3&gt;=C3,"Notificar o Governo Federal", "OK")</f>
        <v>Notificar o Governo Federal</v>
      </c>
    </row>
    <row r="4" spans="1:4" ht="18.75" x14ac:dyDescent="0.3">
      <c r="A4" s="41" t="s">
        <v>29</v>
      </c>
      <c r="B4" s="42">
        <v>3.5999999999999997E-2</v>
      </c>
      <c r="C4" s="42">
        <v>2.5000000000000001E-2</v>
      </c>
      <c r="D4" s="43" t="str">
        <f t="shared" ref="D4:D7" si="0">IF(B4&gt;=C4,"Notificar o Governo Federal", "OK")</f>
        <v>Notificar o Governo Federal</v>
      </c>
    </row>
    <row r="5" spans="1:4" ht="18.75" x14ac:dyDescent="0.3">
      <c r="A5" s="41" t="s">
        <v>30</v>
      </c>
      <c r="B5" s="42">
        <v>1.6E-2</v>
      </c>
      <c r="C5" s="42">
        <v>0.02</v>
      </c>
      <c r="D5" s="43" t="str">
        <f t="shared" si="0"/>
        <v>OK</v>
      </c>
    </row>
    <row r="6" spans="1:4" ht="18.75" x14ac:dyDescent="0.3">
      <c r="A6" s="41" t="s">
        <v>31</v>
      </c>
      <c r="B6" s="42">
        <v>0.03</v>
      </c>
      <c r="C6" s="42">
        <v>3.5999999999999997E-2</v>
      </c>
      <c r="D6" s="43" t="str">
        <f t="shared" si="0"/>
        <v>OK</v>
      </c>
    </row>
    <row r="7" spans="1:4" ht="18.75" x14ac:dyDescent="0.3">
      <c r="A7" s="41" t="s">
        <v>32</v>
      </c>
      <c r="B7" s="42">
        <v>1.2E-2</v>
      </c>
      <c r="C7" s="42">
        <v>1.4E-2</v>
      </c>
      <c r="D7" s="43" t="str">
        <f t="shared" si="0"/>
        <v>OK</v>
      </c>
    </row>
    <row r="8" spans="1:4" x14ac:dyDescent="0.25">
      <c r="C8" s="44"/>
      <c r="D8" s="44"/>
    </row>
    <row r="9" spans="1:4" x14ac:dyDescent="0.25">
      <c r="A9" s="89" t="s">
        <v>90</v>
      </c>
      <c r="B9" s="89"/>
      <c r="C9" s="89"/>
      <c r="D9" s="89"/>
    </row>
    <row r="10" spans="1:4" x14ac:dyDescent="0.25">
      <c r="A10" s="89"/>
      <c r="B10" s="89"/>
      <c r="C10" s="89"/>
      <c r="D10" s="89"/>
    </row>
    <row r="11" spans="1:4" x14ac:dyDescent="0.25">
      <c r="A11" s="89"/>
      <c r="B11" s="89"/>
      <c r="C11" s="89"/>
      <c r="D11" s="89"/>
    </row>
    <row r="12" spans="1:4" x14ac:dyDescent="0.25">
      <c r="A12" s="45" t="s">
        <v>26</v>
      </c>
      <c r="B12" s="46"/>
      <c r="C12" s="46"/>
    </row>
    <row r="13" spans="1:4" x14ac:dyDescent="0.25">
      <c r="A13" s="45" t="s">
        <v>27</v>
      </c>
    </row>
    <row r="14" spans="1:4" x14ac:dyDescent="0.25">
      <c r="A14" s="47" t="s">
        <v>33</v>
      </c>
      <c r="D14" s="48"/>
    </row>
  </sheetData>
  <mergeCells count="2">
    <mergeCell ref="A1:D1"/>
    <mergeCell ref="A9:D1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zoomScale="190" zoomScaleNormal="190" workbookViewId="0">
      <selection activeCell="E4" sqref="E4:E10"/>
    </sheetView>
  </sheetViews>
  <sheetFormatPr defaultRowHeight="15" x14ac:dyDescent="0.25"/>
  <cols>
    <col min="1" max="1" width="11.7109375" style="7" bestFit="1" customWidth="1"/>
    <col min="2" max="2" width="12" style="7" customWidth="1"/>
    <col min="3" max="3" width="11.5703125" style="7" customWidth="1"/>
    <col min="4" max="4" width="12" style="7" customWidth="1"/>
    <col min="5" max="5" width="56.140625" style="7" customWidth="1"/>
    <col min="6" max="16384" width="9.140625" style="7"/>
  </cols>
  <sheetData>
    <row r="1" spans="1:10" ht="36.75" customHeight="1" x14ac:dyDescent="0.25">
      <c r="A1" s="90" t="s">
        <v>35</v>
      </c>
      <c r="B1" s="91"/>
      <c r="C1" s="91"/>
      <c r="D1" s="91"/>
      <c r="E1" s="92"/>
    </row>
    <row r="2" spans="1:10" x14ac:dyDescent="0.25">
      <c r="A2" s="93"/>
      <c r="B2" s="93"/>
      <c r="C2" s="93"/>
      <c r="D2" s="93"/>
      <c r="E2" s="93"/>
    </row>
    <row r="3" spans="1:10" ht="30" x14ac:dyDescent="0.25">
      <c r="A3" s="38" t="s">
        <v>36</v>
      </c>
      <c r="B3" s="38" t="s">
        <v>37</v>
      </c>
      <c r="C3" s="38" t="s">
        <v>38</v>
      </c>
      <c r="D3" s="38" t="s">
        <v>39</v>
      </c>
      <c r="E3" s="38" t="s">
        <v>122</v>
      </c>
      <c r="G3" s="33"/>
      <c r="H3" s="33"/>
      <c r="I3" s="33"/>
      <c r="J3" s="33"/>
    </row>
    <row r="4" spans="1:10" x14ac:dyDescent="0.25">
      <c r="A4" s="34" t="s">
        <v>40</v>
      </c>
      <c r="B4" s="35">
        <v>500</v>
      </c>
      <c r="C4" s="35">
        <v>387</v>
      </c>
      <c r="D4" s="36">
        <f>B4-C4</f>
        <v>113</v>
      </c>
      <c r="E4" s="37" t="str">
        <f>IF(D4&lt;50,"FAZER NOVA COMPRA","ESTOQUE OK")</f>
        <v>ESTOQUE OK</v>
      </c>
    </row>
    <row r="5" spans="1:10" x14ac:dyDescent="0.25">
      <c r="A5" s="34" t="s">
        <v>41</v>
      </c>
      <c r="B5" s="35">
        <v>1000</v>
      </c>
      <c r="C5" s="35">
        <v>900</v>
      </c>
      <c r="D5" s="36">
        <f t="shared" ref="D5:D10" si="0">B5-C5</f>
        <v>100</v>
      </c>
      <c r="E5" s="37" t="str">
        <f t="shared" ref="E5:E10" si="1">IF(D5&lt;50,"FAZER NOVA COMPRA","ESTOQUE OK")</f>
        <v>ESTOQUE OK</v>
      </c>
    </row>
    <row r="6" spans="1:10" x14ac:dyDescent="0.25">
      <c r="A6" s="34" t="s">
        <v>42</v>
      </c>
      <c r="B6" s="35">
        <v>800</v>
      </c>
      <c r="C6" s="35">
        <v>798</v>
      </c>
      <c r="D6" s="36">
        <f t="shared" si="0"/>
        <v>2</v>
      </c>
      <c r="E6" s="37" t="str">
        <f t="shared" si="1"/>
        <v>FAZER NOVA COMPRA</v>
      </c>
    </row>
    <row r="7" spans="1:10" x14ac:dyDescent="0.25">
      <c r="A7" s="34" t="s">
        <v>43</v>
      </c>
      <c r="B7" s="35">
        <v>750</v>
      </c>
      <c r="C7" s="35">
        <v>300</v>
      </c>
      <c r="D7" s="36">
        <f t="shared" si="0"/>
        <v>450</v>
      </c>
      <c r="E7" s="37" t="str">
        <f t="shared" si="1"/>
        <v>ESTOQUE OK</v>
      </c>
    </row>
    <row r="8" spans="1:10" x14ac:dyDescent="0.25">
      <c r="A8" s="34" t="s">
        <v>44</v>
      </c>
      <c r="B8" s="35">
        <v>1245</v>
      </c>
      <c r="C8" s="35">
        <v>1200</v>
      </c>
      <c r="D8" s="36">
        <f t="shared" si="0"/>
        <v>45</v>
      </c>
      <c r="E8" s="37" t="str">
        <f t="shared" si="1"/>
        <v>FAZER NOVA COMPRA</v>
      </c>
    </row>
    <row r="9" spans="1:10" x14ac:dyDescent="0.25">
      <c r="A9" s="34" t="s">
        <v>45</v>
      </c>
      <c r="B9" s="35">
        <v>2000</v>
      </c>
      <c r="C9" s="35">
        <v>1678</v>
      </c>
      <c r="D9" s="36">
        <f t="shared" si="0"/>
        <v>322</v>
      </c>
      <c r="E9" s="37" t="str">
        <f t="shared" si="1"/>
        <v>ESTOQUE OK</v>
      </c>
    </row>
    <row r="10" spans="1:10" x14ac:dyDescent="0.25">
      <c r="A10" s="34" t="s">
        <v>46</v>
      </c>
      <c r="B10" s="35">
        <v>3000</v>
      </c>
      <c r="C10" s="35">
        <v>2978</v>
      </c>
      <c r="D10" s="36">
        <f t="shared" si="0"/>
        <v>22</v>
      </c>
      <c r="E10" s="37" t="str">
        <f t="shared" si="1"/>
        <v>FAZER NOVA COMPRA</v>
      </c>
    </row>
    <row r="12" spans="1:10" ht="150" customHeight="1" x14ac:dyDescent="0.25">
      <c r="A12" s="94" t="s">
        <v>103</v>
      </c>
      <c r="B12" s="94"/>
      <c r="C12" s="94"/>
      <c r="D12" s="94"/>
      <c r="E12" s="94"/>
    </row>
  </sheetData>
  <mergeCells count="3">
    <mergeCell ref="A1:E1"/>
    <mergeCell ref="A2:E2"/>
    <mergeCell ref="A12:E1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topLeftCell="A2" zoomScale="145" zoomScaleNormal="145" workbookViewId="0">
      <selection activeCell="B25" sqref="B25"/>
    </sheetView>
  </sheetViews>
  <sheetFormatPr defaultRowHeight="15" x14ac:dyDescent="0.25"/>
  <cols>
    <col min="1" max="1" width="22.42578125" style="7" bestFit="1" customWidth="1"/>
    <col min="2" max="2" width="19.7109375" style="7" customWidth="1"/>
    <col min="3" max="3" width="21.42578125" style="7" customWidth="1"/>
    <col min="4" max="4" width="78.42578125" style="7" customWidth="1"/>
    <col min="5" max="16384" width="9.140625" style="7"/>
  </cols>
  <sheetData>
    <row r="1" spans="1:4" ht="31.5" customHeight="1" x14ac:dyDescent="0.25">
      <c r="A1" s="95" t="s">
        <v>47</v>
      </c>
      <c r="B1" s="95"/>
      <c r="C1" s="95"/>
      <c r="D1" s="95"/>
    </row>
    <row r="2" spans="1:4" ht="24" customHeight="1" x14ac:dyDescent="0.25">
      <c r="A2" s="32" t="s">
        <v>48</v>
      </c>
      <c r="B2" s="32" t="s">
        <v>49</v>
      </c>
      <c r="C2" s="32" t="s">
        <v>50</v>
      </c>
      <c r="D2" s="32" t="s">
        <v>51</v>
      </c>
    </row>
    <row r="3" spans="1:4" ht="15.75" x14ac:dyDescent="0.25">
      <c r="A3" s="29" t="s">
        <v>104</v>
      </c>
      <c r="B3" s="30">
        <v>7.98</v>
      </c>
      <c r="C3" s="30">
        <v>8.56</v>
      </c>
      <c r="D3" s="31" t="str">
        <f>IF(B3&lt;C3,"comprar no extra","comprar no carrefour")</f>
        <v>comprar no extra</v>
      </c>
    </row>
    <row r="4" spans="1:4" ht="15.75" x14ac:dyDescent="0.25">
      <c r="A4" s="29" t="s">
        <v>105</v>
      </c>
      <c r="B4" s="30">
        <v>9.65</v>
      </c>
      <c r="C4" s="30">
        <v>8.9499999999999993</v>
      </c>
      <c r="D4" s="31" t="str">
        <f t="shared" ref="D4:D17" si="0">IF(B4&lt;C4,"comprar no extra","comprar no carrefour")</f>
        <v>comprar no carrefour</v>
      </c>
    </row>
    <row r="5" spans="1:4" ht="15.75" x14ac:dyDescent="0.25">
      <c r="A5" s="29" t="s">
        <v>117</v>
      </c>
      <c r="B5" s="30">
        <v>5.67</v>
      </c>
      <c r="C5" s="30">
        <v>5.65</v>
      </c>
      <c r="D5" s="31" t="str">
        <f t="shared" si="0"/>
        <v>comprar no carrefour</v>
      </c>
    </row>
    <row r="6" spans="1:4" ht="15.75" x14ac:dyDescent="0.25">
      <c r="A6" s="29" t="s">
        <v>106</v>
      </c>
      <c r="B6" s="30">
        <v>3.65</v>
      </c>
      <c r="C6" s="30">
        <v>3.9</v>
      </c>
      <c r="D6" s="31" t="str">
        <f t="shared" si="0"/>
        <v>comprar no extra</v>
      </c>
    </row>
    <row r="7" spans="1:4" ht="15.75" x14ac:dyDescent="0.25">
      <c r="A7" s="29" t="s">
        <v>107</v>
      </c>
      <c r="B7" s="30">
        <v>2.35</v>
      </c>
      <c r="C7" s="30">
        <v>2.4700000000000002</v>
      </c>
      <c r="D7" s="31" t="str">
        <f t="shared" si="0"/>
        <v>comprar no extra</v>
      </c>
    </row>
    <row r="8" spans="1:4" ht="15.75" x14ac:dyDescent="0.25">
      <c r="A8" s="29" t="s">
        <v>108</v>
      </c>
      <c r="B8" s="30">
        <v>11.25</v>
      </c>
      <c r="C8" s="30">
        <v>11.2</v>
      </c>
      <c r="D8" s="31" t="str">
        <f t="shared" si="0"/>
        <v>comprar no carrefour</v>
      </c>
    </row>
    <row r="9" spans="1:4" ht="15.75" x14ac:dyDescent="0.25">
      <c r="A9" s="29" t="s">
        <v>109</v>
      </c>
      <c r="B9" s="30">
        <v>6.9</v>
      </c>
      <c r="C9" s="30">
        <v>6.95</v>
      </c>
      <c r="D9" s="31" t="str">
        <f t="shared" si="0"/>
        <v>comprar no extra</v>
      </c>
    </row>
    <row r="10" spans="1:4" ht="15.75" x14ac:dyDescent="0.25">
      <c r="A10" s="29" t="s">
        <v>110</v>
      </c>
      <c r="B10" s="30">
        <v>3.1</v>
      </c>
      <c r="C10" s="30">
        <v>2.99</v>
      </c>
      <c r="D10" s="31" t="str">
        <f t="shared" si="0"/>
        <v>comprar no carrefour</v>
      </c>
    </row>
    <row r="11" spans="1:4" ht="15.75" x14ac:dyDescent="0.25">
      <c r="A11" s="29" t="s">
        <v>118</v>
      </c>
      <c r="B11" s="30">
        <v>6.2</v>
      </c>
      <c r="C11" s="30">
        <v>5.95</v>
      </c>
      <c r="D11" s="31" t="str">
        <f t="shared" si="0"/>
        <v>comprar no carrefour</v>
      </c>
    </row>
    <row r="12" spans="1:4" ht="15.75" x14ac:dyDescent="0.25">
      <c r="A12" s="29" t="s">
        <v>111</v>
      </c>
      <c r="B12" s="30">
        <v>2.9</v>
      </c>
      <c r="C12" s="30">
        <v>3.1</v>
      </c>
      <c r="D12" s="31" t="str">
        <f t="shared" si="0"/>
        <v>comprar no extra</v>
      </c>
    </row>
    <row r="13" spans="1:4" ht="15.75" x14ac:dyDescent="0.25">
      <c r="A13" s="29" t="s">
        <v>112</v>
      </c>
      <c r="B13" s="30">
        <v>2.87</v>
      </c>
      <c r="C13" s="30">
        <v>3</v>
      </c>
      <c r="D13" s="31" t="str">
        <f t="shared" si="0"/>
        <v>comprar no extra</v>
      </c>
    </row>
    <row r="14" spans="1:4" ht="15.75" x14ac:dyDescent="0.25">
      <c r="A14" s="29" t="s">
        <v>113</v>
      </c>
      <c r="B14" s="30">
        <v>3.95</v>
      </c>
      <c r="C14" s="30">
        <v>3.8</v>
      </c>
      <c r="D14" s="31" t="str">
        <f t="shared" si="0"/>
        <v>comprar no carrefour</v>
      </c>
    </row>
    <row r="15" spans="1:4" ht="15.75" x14ac:dyDescent="0.25">
      <c r="A15" s="29" t="s">
        <v>114</v>
      </c>
      <c r="B15" s="30">
        <v>12.9</v>
      </c>
      <c r="C15" s="30">
        <v>15.27</v>
      </c>
      <c r="D15" s="31" t="str">
        <f t="shared" si="0"/>
        <v>comprar no extra</v>
      </c>
    </row>
    <row r="16" spans="1:4" ht="15.75" x14ac:dyDescent="0.25">
      <c r="A16" s="29" t="s">
        <v>115</v>
      </c>
      <c r="B16" s="30">
        <v>3</v>
      </c>
      <c r="C16" s="30">
        <v>3.15</v>
      </c>
      <c r="D16" s="31" t="str">
        <f t="shared" si="0"/>
        <v>comprar no extra</v>
      </c>
    </row>
    <row r="17" spans="1:4" ht="15.75" x14ac:dyDescent="0.25">
      <c r="A17" s="29" t="s">
        <v>116</v>
      </c>
      <c r="B17" s="30">
        <v>22.9</v>
      </c>
      <c r="C17" s="30">
        <v>21.5</v>
      </c>
      <c r="D17" s="31" t="str">
        <f t="shared" si="0"/>
        <v>comprar no carrefour</v>
      </c>
    </row>
    <row r="20" spans="1:4" x14ac:dyDescent="0.25">
      <c r="C20" s="28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zoomScale="210" zoomScaleNormal="210" workbookViewId="0">
      <selection activeCell="B3" sqref="B3"/>
    </sheetView>
  </sheetViews>
  <sheetFormatPr defaultRowHeight="15" x14ac:dyDescent="0.25"/>
  <cols>
    <col min="1" max="1" width="16.42578125" style="7" customWidth="1"/>
    <col min="2" max="2" width="37.7109375" style="7" customWidth="1"/>
    <col min="3" max="16384" width="9.140625" style="7"/>
  </cols>
  <sheetData>
    <row r="1" spans="1:2" ht="24.75" customHeight="1" x14ac:dyDescent="0.25">
      <c r="A1" s="70" t="s">
        <v>52</v>
      </c>
      <c r="B1" s="70" t="s">
        <v>34</v>
      </c>
    </row>
    <row r="2" spans="1:2" x14ac:dyDescent="0.25">
      <c r="A2" s="14">
        <v>10</v>
      </c>
      <c r="B2" s="27" t="str">
        <f>IF(A2&lt;0,"Valor Negativo","Valor Positivo")</f>
        <v>Valor Positivo</v>
      </c>
    </row>
    <row r="3" spans="1:2" x14ac:dyDescent="0.25">
      <c r="A3" s="14">
        <v>-30</v>
      </c>
      <c r="B3" s="27" t="str">
        <f t="shared" ref="B3:B11" si="0">IF(A3&lt;0,"Valor Negativo","Valor Positivo")</f>
        <v>Valor Negativo</v>
      </c>
    </row>
    <row r="4" spans="1:2" x14ac:dyDescent="0.25">
      <c r="A4" s="14">
        <v>27</v>
      </c>
      <c r="B4" s="27" t="str">
        <f t="shared" si="0"/>
        <v>Valor Positivo</v>
      </c>
    </row>
    <row r="5" spans="1:2" x14ac:dyDescent="0.25">
      <c r="A5" s="14">
        <v>40</v>
      </c>
      <c r="B5" s="27" t="str">
        <f t="shared" si="0"/>
        <v>Valor Positivo</v>
      </c>
    </row>
    <row r="6" spans="1:2" x14ac:dyDescent="0.25">
      <c r="A6" s="14">
        <v>-2</v>
      </c>
      <c r="B6" s="27" t="str">
        <f t="shared" si="0"/>
        <v>Valor Negativo</v>
      </c>
    </row>
    <row r="7" spans="1:2" x14ac:dyDescent="0.25">
      <c r="A7" s="14">
        <v>37</v>
      </c>
      <c r="B7" s="27" t="str">
        <f t="shared" si="0"/>
        <v>Valor Positivo</v>
      </c>
    </row>
    <row r="8" spans="1:2" x14ac:dyDescent="0.25">
      <c r="A8" s="14">
        <v>0</v>
      </c>
      <c r="B8" s="27" t="str">
        <f t="shared" si="0"/>
        <v>Valor Positivo</v>
      </c>
    </row>
    <row r="9" spans="1:2" x14ac:dyDescent="0.25">
      <c r="A9" s="14">
        <v>-20</v>
      </c>
      <c r="B9" s="27" t="str">
        <f t="shared" si="0"/>
        <v>Valor Negativo</v>
      </c>
    </row>
    <row r="10" spans="1:2" x14ac:dyDescent="0.25">
      <c r="A10" s="14">
        <v>60</v>
      </c>
      <c r="B10" s="27" t="str">
        <f t="shared" si="0"/>
        <v>Valor Positivo</v>
      </c>
    </row>
    <row r="11" spans="1:2" x14ac:dyDescent="0.25">
      <c r="A11" s="14">
        <v>-12</v>
      </c>
      <c r="B11" s="27" t="str">
        <f t="shared" si="0"/>
        <v>Valor Negativo</v>
      </c>
    </row>
    <row r="12" spans="1:2" x14ac:dyDescent="0.25">
      <c r="B12" s="28"/>
    </row>
  </sheetData>
  <conditionalFormatting sqref="B2:B11">
    <cfRule type="containsText" dxfId="1" priority="2" operator="containsText" text="POSITIVO">
      <formula>NOT(ISERROR(SEARCH("POSITIVO",B2)))</formula>
    </cfRule>
    <cfRule type="containsText" dxfId="0" priority="1" operator="containsText" text="NE">
      <formula>NOT(ISERROR(SEARCH("NE",B2)))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zoomScale="160" zoomScaleNormal="160" workbookViewId="0">
      <selection activeCell="C12" sqref="C12"/>
    </sheetView>
  </sheetViews>
  <sheetFormatPr defaultRowHeight="15" x14ac:dyDescent="0.25"/>
  <cols>
    <col min="1" max="1" width="21.85546875" style="16" customWidth="1"/>
    <col min="2" max="2" width="50.140625" style="16" customWidth="1"/>
    <col min="3" max="4" width="19.7109375" style="16" customWidth="1"/>
    <col min="5" max="5" width="6.7109375" style="16" customWidth="1"/>
    <col min="6" max="6" width="24.140625" style="16" customWidth="1"/>
    <col min="7" max="16384" width="9.140625" style="16"/>
  </cols>
  <sheetData>
    <row r="1" spans="1:8" ht="38.25" customHeight="1" x14ac:dyDescent="0.25">
      <c r="A1" s="21" t="s">
        <v>92</v>
      </c>
      <c r="B1" s="21" t="s">
        <v>53</v>
      </c>
      <c r="C1" s="21" t="s">
        <v>91</v>
      </c>
      <c r="D1" s="21" t="s">
        <v>126</v>
      </c>
      <c r="E1" s="15"/>
      <c r="F1" s="96" t="s">
        <v>123</v>
      </c>
      <c r="G1" s="96"/>
      <c r="H1" s="96"/>
    </row>
    <row r="2" spans="1:8" ht="15.75" x14ac:dyDescent="0.25">
      <c r="A2" s="17">
        <v>150</v>
      </c>
      <c r="B2" s="18">
        <f>IF(A2&gt;=600,0.1,0.02)</f>
        <v>0.02</v>
      </c>
      <c r="C2" s="76">
        <f>B2*A2</f>
        <v>3</v>
      </c>
      <c r="D2" s="72">
        <f>A2-C2</f>
        <v>147</v>
      </c>
      <c r="E2" s="19"/>
      <c r="F2" s="96"/>
      <c r="G2" s="96"/>
      <c r="H2" s="96"/>
    </row>
    <row r="3" spans="1:8" ht="15.75" x14ac:dyDescent="0.25">
      <c r="A3" s="17">
        <v>320</v>
      </c>
      <c r="B3" s="18">
        <f t="shared" ref="B3:B7" si="0">IF(A3&gt;=600,0.1,0.02)</f>
        <v>0.02</v>
      </c>
      <c r="C3" s="76">
        <f t="shared" ref="C3:C7" si="1">B3*A3</f>
        <v>6.4</v>
      </c>
      <c r="D3" s="72">
        <f t="shared" ref="D3:D7" si="2">A3-C3</f>
        <v>313.60000000000002</v>
      </c>
      <c r="F3" s="96"/>
      <c r="G3" s="96"/>
      <c r="H3" s="96"/>
    </row>
    <row r="4" spans="1:8" ht="15.75" x14ac:dyDescent="0.25">
      <c r="A4" s="17">
        <v>1845</v>
      </c>
      <c r="B4" s="18">
        <f t="shared" si="0"/>
        <v>0.1</v>
      </c>
      <c r="C4" s="76">
        <f t="shared" si="1"/>
        <v>184.5</v>
      </c>
      <c r="D4" s="72">
        <f t="shared" si="2"/>
        <v>1660.5</v>
      </c>
      <c r="E4" s="19"/>
      <c r="F4" s="96"/>
      <c r="G4" s="96"/>
      <c r="H4" s="96"/>
    </row>
    <row r="5" spans="1:8" ht="15.75" x14ac:dyDescent="0.25">
      <c r="A5" s="17">
        <v>4522</v>
      </c>
      <c r="B5" s="18">
        <f t="shared" si="0"/>
        <v>0.1</v>
      </c>
      <c r="C5" s="76">
        <f t="shared" si="1"/>
        <v>452.20000000000005</v>
      </c>
      <c r="D5" s="72">
        <f t="shared" si="2"/>
        <v>4069.8</v>
      </c>
      <c r="F5" s="96"/>
      <c r="G5" s="96"/>
      <c r="H5" s="96"/>
    </row>
    <row r="6" spans="1:8" ht="15.75" x14ac:dyDescent="0.25">
      <c r="A6" s="17">
        <v>2415</v>
      </c>
      <c r="B6" s="18">
        <f t="shared" si="0"/>
        <v>0.1</v>
      </c>
      <c r="C6" s="76">
        <f t="shared" si="1"/>
        <v>241.5</v>
      </c>
      <c r="D6" s="72">
        <f t="shared" si="2"/>
        <v>2173.5</v>
      </c>
      <c r="F6" s="96"/>
      <c r="G6" s="96"/>
      <c r="H6" s="96"/>
    </row>
    <row r="7" spans="1:8" ht="15.75" x14ac:dyDescent="0.25">
      <c r="A7" s="17">
        <v>2145</v>
      </c>
      <c r="B7" s="18">
        <f t="shared" si="0"/>
        <v>0.1</v>
      </c>
      <c r="C7" s="76">
        <f t="shared" si="1"/>
        <v>214.5</v>
      </c>
      <c r="D7" s="72">
        <f t="shared" si="2"/>
        <v>1930.5</v>
      </c>
    </row>
    <row r="8" spans="1:8" x14ac:dyDescent="0.25">
      <c r="B8" s="20"/>
      <c r="C8" s="20"/>
      <c r="D8" s="20"/>
    </row>
    <row r="9" spans="1:8" ht="31.5" x14ac:dyDescent="0.25">
      <c r="A9" s="21" t="s">
        <v>92</v>
      </c>
      <c r="B9" s="21" t="s">
        <v>126</v>
      </c>
      <c r="C9" s="73"/>
    </row>
    <row r="10" spans="1:8" ht="15.75" x14ac:dyDescent="0.25">
      <c r="A10" s="17">
        <v>150</v>
      </c>
      <c r="B10" s="17">
        <f>IF(A10&gt;=600,A10-(0.1*A10),A10-(0.02*A10))</f>
        <v>147</v>
      </c>
    </row>
    <row r="11" spans="1:8" ht="15.75" x14ac:dyDescent="0.25">
      <c r="A11" s="17">
        <v>320</v>
      </c>
      <c r="B11" s="17">
        <f t="shared" ref="B11:B15" si="3">IF(A11&gt;=600,A11-(0.1*A11),A11-(0.02*A11))</f>
        <v>313.60000000000002</v>
      </c>
    </row>
    <row r="12" spans="1:8" ht="15.75" x14ac:dyDescent="0.25">
      <c r="A12" s="17">
        <v>1845</v>
      </c>
      <c r="B12" s="17">
        <f t="shared" si="3"/>
        <v>1660.5</v>
      </c>
    </row>
    <row r="13" spans="1:8" ht="15.75" x14ac:dyDescent="0.25">
      <c r="A13" s="17">
        <v>4522</v>
      </c>
      <c r="B13" s="17">
        <f t="shared" si="3"/>
        <v>4069.8</v>
      </c>
    </row>
    <row r="14" spans="1:8" ht="15.75" x14ac:dyDescent="0.25">
      <c r="A14" s="17">
        <v>2415</v>
      </c>
      <c r="B14" s="17">
        <f t="shared" si="3"/>
        <v>2173.5</v>
      </c>
    </row>
    <row r="15" spans="1:8" ht="15.75" x14ac:dyDescent="0.25">
      <c r="A15" s="17">
        <v>2145</v>
      </c>
      <c r="B15" s="17">
        <f t="shared" si="3"/>
        <v>1930.5</v>
      </c>
    </row>
    <row r="17" spans="3:3" x14ac:dyDescent="0.25">
      <c r="C17" s="71"/>
    </row>
  </sheetData>
  <mergeCells count="1">
    <mergeCell ref="F1:H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4"/>
  <sheetViews>
    <sheetView topLeftCell="A10" zoomScale="130" zoomScaleNormal="130" workbookViewId="0">
      <selection activeCell="D20" sqref="D20:D34"/>
    </sheetView>
  </sheetViews>
  <sheetFormatPr defaultRowHeight="15" x14ac:dyDescent="0.25"/>
  <cols>
    <col min="1" max="1" width="10.42578125" style="7" bestFit="1" customWidth="1"/>
    <col min="2" max="2" width="15" style="7" customWidth="1"/>
    <col min="3" max="3" width="19.28515625" style="7" customWidth="1"/>
    <col min="4" max="4" width="43.28515625" style="7" customWidth="1"/>
    <col min="5" max="5" width="13.5703125" style="7" bestFit="1" customWidth="1"/>
    <col min="6" max="6" width="11.7109375" style="7" customWidth="1"/>
    <col min="7" max="7" width="33.140625" style="7" customWidth="1"/>
    <col min="8" max="16384" width="9.140625" style="7"/>
  </cols>
  <sheetData>
    <row r="1" spans="1:7" ht="35.25" customHeight="1" thickTop="1" thickBot="1" x14ac:dyDescent="0.3">
      <c r="A1" s="97" t="s">
        <v>57</v>
      </c>
      <c r="B1" s="98"/>
      <c r="C1" s="98"/>
      <c r="D1" s="98"/>
      <c r="E1" s="99"/>
    </row>
    <row r="2" spans="1:7" ht="15.75" thickTop="1" x14ac:dyDescent="0.25">
      <c r="A2" s="22" t="s">
        <v>58</v>
      </c>
      <c r="B2" s="22" t="s">
        <v>59</v>
      </c>
      <c r="C2" s="22" t="s">
        <v>60</v>
      </c>
      <c r="D2" s="22" t="s">
        <v>61</v>
      </c>
      <c r="E2" s="22" t="s">
        <v>62</v>
      </c>
    </row>
    <row r="3" spans="1:7" x14ac:dyDescent="0.25">
      <c r="A3" s="9" t="s">
        <v>63</v>
      </c>
      <c r="B3" s="13">
        <v>3050</v>
      </c>
      <c r="C3" s="14" t="str">
        <f>IF(B3&lt;7000,"FIT","COMUM")</f>
        <v>FIT</v>
      </c>
      <c r="D3" s="80">
        <f>IF(C3="FIT",0.02,0.045)</f>
        <v>0.02</v>
      </c>
      <c r="E3" s="10">
        <f>B3+(B3*D3)</f>
        <v>3111</v>
      </c>
      <c r="G3" s="81"/>
    </row>
    <row r="4" spans="1:7" x14ac:dyDescent="0.25">
      <c r="A4" s="9" t="s">
        <v>64</v>
      </c>
      <c r="B4" s="13">
        <v>4500</v>
      </c>
      <c r="C4" s="14" t="str">
        <f t="shared" ref="C4:C17" si="0">IF(B4&lt;7000,"FIT","COMUM")</f>
        <v>FIT</v>
      </c>
      <c r="D4" s="80">
        <f t="shared" ref="D4:D17" si="1">IF(C4="FIT",0.02,0.045)</f>
        <v>0.02</v>
      </c>
      <c r="E4" s="10">
        <f t="shared" ref="E4:E17" si="2">B4+(B4*D4)</f>
        <v>4590</v>
      </c>
    </row>
    <row r="5" spans="1:7" x14ac:dyDescent="0.25">
      <c r="A5" s="9" t="s">
        <v>65</v>
      </c>
      <c r="B5" s="13">
        <v>4798</v>
      </c>
      <c r="C5" s="14" t="str">
        <f t="shared" si="0"/>
        <v>FIT</v>
      </c>
      <c r="D5" s="80">
        <f t="shared" si="1"/>
        <v>0.02</v>
      </c>
      <c r="E5" s="10">
        <f t="shared" si="2"/>
        <v>4893.96</v>
      </c>
    </row>
    <row r="6" spans="1:7" x14ac:dyDescent="0.25">
      <c r="A6" s="9" t="s">
        <v>66</v>
      </c>
      <c r="B6" s="13">
        <v>17689</v>
      </c>
      <c r="C6" s="14" t="str">
        <f t="shared" si="0"/>
        <v>COMUM</v>
      </c>
      <c r="D6" s="80">
        <f t="shared" si="1"/>
        <v>4.4999999999999998E-2</v>
      </c>
      <c r="E6" s="10">
        <f t="shared" si="2"/>
        <v>18485.005000000001</v>
      </c>
      <c r="G6" s="77"/>
    </row>
    <row r="7" spans="1:7" x14ac:dyDescent="0.25">
      <c r="A7" s="9" t="s">
        <v>67</v>
      </c>
      <c r="B7" s="13">
        <v>11870</v>
      </c>
      <c r="C7" s="14" t="str">
        <f t="shared" si="0"/>
        <v>COMUM</v>
      </c>
      <c r="D7" s="80">
        <f t="shared" si="1"/>
        <v>4.4999999999999998E-2</v>
      </c>
      <c r="E7" s="10">
        <f t="shared" si="2"/>
        <v>12404.15</v>
      </c>
    </row>
    <row r="8" spans="1:7" x14ac:dyDescent="0.25">
      <c r="A8" s="9" t="s">
        <v>55</v>
      </c>
      <c r="B8" s="13">
        <v>9017</v>
      </c>
      <c r="C8" s="14" t="str">
        <f t="shared" si="0"/>
        <v>COMUM</v>
      </c>
      <c r="D8" s="80">
        <f t="shared" si="1"/>
        <v>4.4999999999999998E-2</v>
      </c>
      <c r="E8" s="10">
        <f t="shared" si="2"/>
        <v>9422.7649999999994</v>
      </c>
    </row>
    <row r="9" spans="1:7" x14ac:dyDescent="0.25">
      <c r="A9" s="9" t="s">
        <v>68</v>
      </c>
      <c r="B9" s="13">
        <v>13570</v>
      </c>
      <c r="C9" s="14" t="str">
        <f t="shared" si="0"/>
        <v>COMUM</v>
      </c>
      <c r="D9" s="80">
        <f t="shared" si="1"/>
        <v>4.4999999999999998E-2</v>
      </c>
      <c r="E9" s="10">
        <f t="shared" si="2"/>
        <v>14180.65</v>
      </c>
    </row>
    <row r="10" spans="1:7" x14ac:dyDescent="0.25">
      <c r="A10" s="9" t="s">
        <v>69</v>
      </c>
      <c r="B10" s="13">
        <v>3200</v>
      </c>
      <c r="C10" s="14" t="str">
        <f t="shared" si="0"/>
        <v>FIT</v>
      </c>
      <c r="D10" s="80">
        <f t="shared" si="1"/>
        <v>0.02</v>
      </c>
      <c r="E10" s="10">
        <f t="shared" si="2"/>
        <v>3264</v>
      </c>
    </row>
    <row r="11" spans="1:7" x14ac:dyDescent="0.25">
      <c r="A11" s="9" t="s">
        <v>70</v>
      </c>
      <c r="B11" s="13">
        <v>6800</v>
      </c>
      <c r="C11" s="14" t="str">
        <f t="shared" si="0"/>
        <v>FIT</v>
      </c>
      <c r="D11" s="80">
        <f t="shared" si="1"/>
        <v>0.02</v>
      </c>
      <c r="E11" s="10">
        <f t="shared" si="2"/>
        <v>6936</v>
      </c>
    </row>
    <row r="12" spans="1:7" x14ac:dyDescent="0.25">
      <c r="A12" s="9" t="s">
        <v>71</v>
      </c>
      <c r="B12" s="13">
        <v>4700</v>
      </c>
      <c r="C12" s="14" t="str">
        <f t="shared" si="0"/>
        <v>FIT</v>
      </c>
      <c r="D12" s="80">
        <f t="shared" si="1"/>
        <v>0.02</v>
      </c>
      <c r="E12" s="10">
        <f t="shared" si="2"/>
        <v>4794</v>
      </c>
    </row>
    <row r="13" spans="1:7" x14ac:dyDescent="0.25">
      <c r="A13" s="9" t="s">
        <v>72</v>
      </c>
      <c r="B13" s="13">
        <v>3001</v>
      </c>
      <c r="C13" s="14" t="str">
        <f t="shared" si="0"/>
        <v>FIT</v>
      </c>
      <c r="D13" s="80">
        <f t="shared" si="1"/>
        <v>0.02</v>
      </c>
      <c r="E13" s="10">
        <f t="shared" si="2"/>
        <v>3061.02</v>
      </c>
    </row>
    <row r="14" spans="1:7" x14ac:dyDescent="0.25">
      <c r="A14" s="9" t="s">
        <v>54</v>
      </c>
      <c r="B14" s="13">
        <v>4790</v>
      </c>
      <c r="C14" s="14" t="str">
        <f t="shared" si="0"/>
        <v>FIT</v>
      </c>
      <c r="D14" s="80">
        <f t="shared" si="1"/>
        <v>0.02</v>
      </c>
      <c r="E14" s="10">
        <f t="shared" si="2"/>
        <v>4885.8</v>
      </c>
    </row>
    <row r="15" spans="1:7" x14ac:dyDescent="0.25">
      <c r="A15" s="9" t="s">
        <v>73</v>
      </c>
      <c r="B15" s="13">
        <v>9078</v>
      </c>
      <c r="C15" s="14" t="str">
        <f t="shared" si="0"/>
        <v>COMUM</v>
      </c>
      <c r="D15" s="80">
        <f t="shared" si="1"/>
        <v>4.4999999999999998E-2</v>
      </c>
      <c r="E15" s="10">
        <f t="shared" si="2"/>
        <v>9486.51</v>
      </c>
    </row>
    <row r="16" spans="1:7" x14ac:dyDescent="0.25">
      <c r="A16" s="9" t="s">
        <v>56</v>
      </c>
      <c r="B16" s="13">
        <v>19900</v>
      </c>
      <c r="C16" s="14" t="str">
        <f t="shared" si="0"/>
        <v>COMUM</v>
      </c>
      <c r="D16" s="80">
        <f t="shared" si="1"/>
        <v>4.4999999999999998E-2</v>
      </c>
      <c r="E16" s="10">
        <f t="shared" si="2"/>
        <v>20795.5</v>
      </c>
    </row>
    <row r="17" spans="1:8" x14ac:dyDescent="0.25">
      <c r="A17" s="9" t="s">
        <v>74</v>
      </c>
      <c r="B17" s="13">
        <v>20000</v>
      </c>
      <c r="C17" s="14" t="str">
        <f t="shared" si="0"/>
        <v>COMUM</v>
      </c>
      <c r="D17" s="80">
        <f t="shared" si="1"/>
        <v>4.4999999999999998E-2</v>
      </c>
      <c r="E17" s="10">
        <f t="shared" si="2"/>
        <v>20900</v>
      </c>
    </row>
    <row r="19" spans="1:8" x14ac:dyDescent="0.25">
      <c r="A19" s="23" t="s">
        <v>58</v>
      </c>
      <c r="B19" s="23" t="s">
        <v>59</v>
      </c>
      <c r="C19" s="23" t="s">
        <v>60</v>
      </c>
      <c r="D19" s="23" t="s">
        <v>62</v>
      </c>
      <c r="H19" s="12"/>
    </row>
    <row r="20" spans="1:8" x14ac:dyDescent="0.25">
      <c r="A20" s="9" t="s">
        <v>63</v>
      </c>
      <c r="B20" s="13">
        <v>3050</v>
      </c>
      <c r="C20" s="14" t="str">
        <f>IF(B20&lt;7000,"FIT","COMUM")</f>
        <v>FIT</v>
      </c>
      <c r="D20" s="10">
        <f>IF(C20="FIT",B20+(0.02*B20),B20+(0.045*B20))</f>
        <v>3111</v>
      </c>
    </row>
    <row r="21" spans="1:8" x14ac:dyDescent="0.25">
      <c r="A21" s="9" t="s">
        <v>64</v>
      </c>
      <c r="B21" s="13">
        <v>4500</v>
      </c>
      <c r="C21" s="14" t="str">
        <f t="shared" ref="C21:C34" si="3">IF(B21&lt;7000,"FIT","COMUM")</f>
        <v>FIT</v>
      </c>
      <c r="D21" s="10">
        <f t="shared" ref="D21:D34" si="4">IF(C21="FIT",B21+(0.02*B21),B21+(0.045*B21))</f>
        <v>4590</v>
      </c>
    </row>
    <row r="22" spans="1:8" x14ac:dyDescent="0.25">
      <c r="A22" s="9" t="s">
        <v>65</v>
      </c>
      <c r="B22" s="13">
        <v>4798</v>
      </c>
      <c r="C22" s="14" t="str">
        <f t="shared" si="3"/>
        <v>FIT</v>
      </c>
      <c r="D22" s="10">
        <f t="shared" si="4"/>
        <v>4893.96</v>
      </c>
    </row>
    <row r="23" spans="1:8" x14ac:dyDescent="0.25">
      <c r="A23" s="9" t="s">
        <v>66</v>
      </c>
      <c r="B23" s="13">
        <v>17689</v>
      </c>
      <c r="C23" s="14" t="str">
        <f t="shared" si="3"/>
        <v>COMUM</v>
      </c>
      <c r="D23" s="10">
        <f t="shared" si="4"/>
        <v>18485.005000000001</v>
      </c>
    </row>
    <row r="24" spans="1:8" x14ac:dyDescent="0.25">
      <c r="A24" s="9" t="s">
        <v>67</v>
      </c>
      <c r="B24" s="13">
        <v>11870</v>
      </c>
      <c r="C24" s="14" t="str">
        <f t="shared" si="3"/>
        <v>COMUM</v>
      </c>
      <c r="D24" s="10">
        <f t="shared" si="4"/>
        <v>12404.15</v>
      </c>
    </row>
    <row r="25" spans="1:8" x14ac:dyDescent="0.25">
      <c r="A25" s="9" t="s">
        <v>55</v>
      </c>
      <c r="B25" s="13">
        <v>9017</v>
      </c>
      <c r="C25" s="14" t="str">
        <f t="shared" si="3"/>
        <v>COMUM</v>
      </c>
      <c r="D25" s="10">
        <f t="shared" si="4"/>
        <v>9422.7649999999994</v>
      </c>
    </row>
    <row r="26" spans="1:8" x14ac:dyDescent="0.25">
      <c r="A26" s="9" t="s">
        <v>68</v>
      </c>
      <c r="B26" s="13">
        <v>13570</v>
      </c>
      <c r="C26" s="14" t="str">
        <f t="shared" si="3"/>
        <v>COMUM</v>
      </c>
      <c r="D26" s="10">
        <f t="shared" si="4"/>
        <v>14180.65</v>
      </c>
    </row>
    <row r="27" spans="1:8" x14ac:dyDescent="0.25">
      <c r="A27" s="9" t="s">
        <v>69</v>
      </c>
      <c r="B27" s="13">
        <v>3200</v>
      </c>
      <c r="C27" s="14" t="str">
        <f t="shared" si="3"/>
        <v>FIT</v>
      </c>
      <c r="D27" s="10">
        <f t="shared" si="4"/>
        <v>3264</v>
      </c>
    </row>
    <row r="28" spans="1:8" x14ac:dyDescent="0.25">
      <c r="A28" s="9" t="s">
        <v>70</v>
      </c>
      <c r="B28" s="13">
        <v>6800</v>
      </c>
      <c r="C28" s="14" t="str">
        <f t="shared" si="3"/>
        <v>FIT</v>
      </c>
      <c r="D28" s="10">
        <f t="shared" si="4"/>
        <v>6936</v>
      </c>
    </row>
    <row r="29" spans="1:8" x14ac:dyDescent="0.25">
      <c r="A29" s="9" t="s">
        <v>71</v>
      </c>
      <c r="B29" s="13">
        <v>4700</v>
      </c>
      <c r="C29" s="14" t="str">
        <f t="shared" si="3"/>
        <v>FIT</v>
      </c>
      <c r="D29" s="10">
        <f t="shared" si="4"/>
        <v>4794</v>
      </c>
    </row>
    <row r="30" spans="1:8" x14ac:dyDescent="0.25">
      <c r="A30" s="9" t="s">
        <v>72</v>
      </c>
      <c r="B30" s="13">
        <v>3001</v>
      </c>
      <c r="C30" s="14" t="str">
        <f t="shared" si="3"/>
        <v>FIT</v>
      </c>
      <c r="D30" s="10">
        <f t="shared" si="4"/>
        <v>3061.02</v>
      </c>
    </row>
    <row r="31" spans="1:8" x14ac:dyDescent="0.25">
      <c r="A31" s="9" t="s">
        <v>54</v>
      </c>
      <c r="B31" s="13">
        <v>4790</v>
      </c>
      <c r="C31" s="14" t="str">
        <f t="shared" si="3"/>
        <v>FIT</v>
      </c>
      <c r="D31" s="10">
        <f t="shared" si="4"/>
        <v>4885.8</v>
      </c>
    </row>
    <row r="32" spans="1:8" x14ac:dyDescent="0.25">
      <c r="A32" s="9" t="s">
        <v>73</v>
      </c>
      <c r="B32" s="13">
        <v>9078</v>
      </c>
      <c r="C32" s="14" t="str">
        <f t="shared" si="3"/>
        <v>COMUM</v>
      </c>
      <c r="D32" s="10">
        <f t="shared" si="4"/>
        <v>9486.51</v>
      </c>
    </row>
    <row r="33" spans="1:4" x14ac:dyDescent="0.25">
      <c r="A33" s="9" t="s">
        <v>56</v>
      </c>
      <c r="B33" s="13">
        <v>19900</v>
      </c>
      <c r="C33" s="14" t="str">
        <f t="shared" si="3"/>
        <v>COMUM</v>
      </c>
      <c r="D33" s="10">
        <f t="shared" si="4"/>
        <v>20795.5</v>
      </c>
    </row>
    <row r="34" spans="1:4" x14ac:dyDescent="0.25">
      <c r="A34" s="9" t="s">
        <v>74</v>
      </c>
      <c r="B34" s="13">
        <v>20000</v>
      </c>
      <c r="C34" s="14" t="str">
        <f t="shared" si="3"/>
        <v>COMUM</v>
      </c>
      <c r="D34" s="10">
        <f t="shared" si="4"/>
        <v>20900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4"/>
  <sheetViews>
    <sheetView zoomScale="145" zoomScaleNormal="145" workbookViewId="0">
      <selection activeCell="E14" sqref="E14"/>
    </sheetView>
  </sheetViews>
  <sheetFormatPr defaultRowHeight="15" x14ac:dyDescent="0.25"/>
  <cols>
    <col min="1" max="1" width="12.42578125" style="7" bestFit="1" customWidth="1"/>
    <col min="2" max="2" width="13.140625" style="7" bestFit="1" customWidth="1"/>
    <col min="3" max="3" width="62.5703125" style="7" customWidth="1"/>
    <col min="4" max="4" width="17.85546875" style="7" customWidth="1"/>
    <col min="5" max="5" width="19.140625" style="7" bestFit="1" customWidth="1"/>
    <col min="6" max="6" width="5" style="7" customWidth="1"/>
    <col min="7" max="7" width="3.85546875" style="7" customWidth="1"/>
    <col min="8" max="16384" width="9.140625" style="7"/>
  </cols>
  <sheetData>
    <row r="1" spans="1:17" ht="40.5" customHeight="1" thickTop="1" thickBot="1" x14ac:dyDescent="0.3">
      <c r="A1" s="100" t="s">
        <v>125</v>
      </c>
      <c r="B1" s="101"/>
      <c r="C1" s="101"/>
      <c r="D1" s="101"/>
      <c r="E1" s="102"/>
      <c r="H1" s="74"/>
      <c r="I1" s="74"/>
      <c r="O1"/>
      <c r="P1"/>
      <c r="Q1"/>
    </row>
    <row r="2" spans="1:17" s="8" customFormat="1" ht="46.5" customHeight="1" thickTop="1" x14ac:dyDescent="0.25">
      <c r="A2" s="24" t="s">
        <v>75</v>
      </c>
      <c r="B2" s="24" t="s">
        <v>76</v>
      </c>
      <c r="C2" s="24" t="s">
        <v>77</v>
      </c>
      <c r="D2" s="25" t="s">
        <v>93</v>
      </c>
      <c r="E2" s="24" t="s">
        <v>78</v>
      </c>
      <c r="H2" s="75"/>
      <c r="I2" s="75"/>
      <c r="O2"/>
      <c r="P2"/>
      <c r="Q2"/>
    </row>
    <row r="3" spans="1:17" x14ac:dyDescent="0.25">
      <c r="A3" s="9" t="s">
        <v>79</v>
      </c>
      <c r="B3" s="10">
        <v>850</v>
      </c>
      <c r="C3" s="82">
        <f>IF(B3&gt;=900,0.15,0)</f>
        <v>0</v>
      </c>
      <c r="D3" s="78">
        <f>B3*C3</f>
        <v>0</v>
      </c>
      <c r="E3" s="11">
        <f>B3+D3</f>
        <v>850</v>
      </c>
      <c r="H3" s="74"/>
      <c r="I3" s="74"/>
    </row>
    <row r="4" spans="1:17" x14ac:dyDescent="0.25">
      <c r="A4" s="9" t="s">
        <v>80</v>
      </c>
      <c r="B4" s="10">
        <v>1200</v>
      </c>
      <c r="C4" s="82">
        <f t="shared" ref="C4:C12" si="0">IF(B4&gt;=900,0.15,0)</f>
        <v>0.15</v>
      </c>
      <c r="D4" s="78">
        <f t="shared" ref="D4:D12" si="1">B4*C4</f>
        <v>180</v>
      </c>
      <c r="E4" s="11">
        <f t="shared" ref="E4:E12" si="2">B4+D4</f>
        <v>1380</v>
      </c>
      <c r="H4" s="74"/>
      <c r="I4" s="74"/>
    </row>
    <row r="5" spans="1:17" x14ac:dyDescent="0.25">
      <c r="A5" s="9" t="s">
        <v>81</v>
      </c>
      <c r="B5" s="10">
        <v>600</v>
      </c>
      <c r="C5" s="82">
        <f t="shared" si="0"/>
        <v>0</v>
      </c>
      <c r="D5" s="78">
        <f t="shared" si="1"/>
        <v>0</v>
      </c>
      <c r="E5" s="11">
        <f t="shared" si="2"/>
        <v>600</v>
      </c>
      <c r="H5" s="74"/>
      <c r="I5" s="74"/>
    </row>
    <row r="6" spans="1:17" x14ac:dyDescent="0.25">
      <c r="A6" s="9" t="s">
        <v>82</v>
      </c>
      <c r="B6" s="10">
        <v>950</v>
      </c>
      <c r="C6" s="82">
        <f t="shared" si="0"/>
        <v>0.15</v>
      </c>
      <c r="D6" s="78">
        <f t="shared" si="1"/>
        <v>142.5</v>
      </c>
      <c r="E6" s="11">
        <f t="shared" si="2"/>
        <v>1092.5</v>
      </c>
      <c r="H6" s="74"/>
      <c r="I6" s="74"/>
    </row>
    <row r="7" spans="1:17" x14ac:dyDescent="0.25">
      <c r="A7" s="9" t="s">
        <v>83</v>
      </c>
      <c r="B7" s="10">
        <v>4500</v>
      </c>
      <c r="C7" s="82">
        <f t="shared" si="0"/>
        <v>0.15</v>
      </c>
      <c r="D7" s="78">
        <f t="shared" si="1"/>
        <v>675</v>
      </c>
      <c r="E7" s="11">
        <f t="shared" si="2"/>
        <v>5175</v>
      </c>
      <c r="H7" s="74"/>
      <c r="I7" s="74"/>
    </row>
    <row r="8" spans="1:17" x14ac:dyDescent="0.25">
      <c r="A8" s="9" t="s">
        <v>84</v>
      </c>
      <c r="B8" s="10">
        <v>3600</v>
      </c>
      <c r="C8" s="82">
        <f t="shared" si="0"/>
        <v>0.15</v>
      </c>
      <c r="D8" s="78">
        <f t="shared" si="1"/>
        <v>540</v>
      </c>
      <c r="E8" s="11">
        <f t="shared" si="2"/>
        <v>4140</v>
      </c>
    </row>
    <row r="9" spans="1:17" x14ac:dyDescent="0.25">
      <c r="A9" s="9" t="s">
        <v>85</v>
      </c>
      <c r="B9" s="10">
        <v>4861</v>
      </c>
      <c r="C9" s="82">
        <f t="shared" si="0"/>
        <v>0.15</v>
      </c>
      <c r="D9" s="78">
        <f t="shared" si="1"/>
        <v>729.15</v>
      </c>
      <c r="E9" s="11">
        <f t="shared" si="2"/>
        <v>5590.15</v>
      </c>
    </row>
    <row r="10" spans="1:17" x14ac:dyDescent="0.25">
      <c r="A10" s="9" t="s">
        <v>86</v>
      </c>
      <c r="B10" s="10">
        <v>503</v>
      </c>
      <c r="C10" s="82">
        <f t="shared" si="0"/>
        <v>0</v>
      </c>
      <c r="D10" s="78">
        <f t="shared" si="1"/>
        <v>0</v>
      </c>
      <c r="E10" s="11">
        <f t="shared" si="2"/>
        <v>503</v>
      </c>
    </row>
    <row r="11" spans="1:17" x14ac:dyDescent="0.25">
      <c r="A11" s="9" t="s">
        <v>87</v>
      </c>
      <c r="B11" s="10">
        <v>900</v>
      </c>
      <c r="C11" s="82">
        <f t="shared" si="0"/>
        <v>0.15</v>
      </c>
      <c r="D11" s="78">
        <f t="shared" si="1"/>
        <v>135</v>
      </c>
      <c r="E11" s="11">
        <f t="shared" si="2"/>
        <v>1035</v>
      </c>
    </row>
    <row r="12" spans="1:17" x14ac:dyDescent="0.25">
      <c r="A12" s="9" t="s">
        <v>88</v>
      </c>
      <c r="B12" s="10">
        <v>700</v>
      </c>
      <c r="C12" s="82">
        <f t="shared" si="0"/>
        <v>0</v>
      </c>
      <c r="D12" s="78">
        <f t="shared" si="1"/>
        <v>0</v>
      </c>
      <c r="E12" s="11">
        <f t="shared" si="2"/>
        <v>700</v>
      </c>
    </row>
    <row r="14" spans="1:17" x14ac:dyDescent="0.25">
      <c r="A14" s="26" t="s">
        <v>75</v>
      </c>
      <c r="B14" s="26" t="s">
        <v>76</v>
      </c>
      <c r="C14" s="26" t="s">
        <v>78</v>
      </c>
    </row>
    <row r="15" spans="1:17" x14ac:dyDescent="0.25">
      <c r="A15" s="9" t="s">
        <v>79</v>
      </c>
      <c r="B15" s="10">
        <v>850</v>
      </c>
      <c r="C15" s="11">
        <f>IF(B15&gt;=900,B15+(B15*0.15),B15)</f>
        <v>850</v>
      </c>
    </row>
    <row r="16" spans="1:17" x14ac:dyDescent="0.25">
      <c r="A16" s="9" t="s">
        <v>80</v>
      </c>
      <c r="B16" s="10">
        <v>1200</v>
      </c>
      <c r="C16" s="11">
        <f t="shared" ref="C16:C24" si="3">IF(B16&gt;=900,B16+(B16*0.15),B16)</f>
        <v>1380</v>
      </c>
      <c r="I16" s="12"/>
    </row>
    <row r="17" spans="1:22" x14ac:dyDescent="0.25">
      <c r="A17" s="9" t="s">
        <v>81</v>
      </c>
      <c r="B17" s="10">
        <v>600</v>
      </c>
      <c r="C17" s="11">
        <f t="shared" si="3"/>
        <v>600</v>
      </c>
      <c r="V17"/>
    </row>
    <row r="18" spans="1:22" x14ac:dyDescent="0.25">
      <c r="A18" s="9" t="s">
        <v>82</v>
      </c>
      <c r="B18" s="10">
        <v>950</v>
      </c>
      <c r="C18" s="11">
        <f t="shared" si="3"/>
        <v>1092.5</v>
      </c>
      <c r="V18"/>
    </row>
    <row r="19" spans="1:22" x14ac:dyDescent="0.25">
      <c r="A19" s="9" t="s">
        <v>83</v>
      </c>
      <c r="B19" s="10">
        <v>4500</v>
      </c>
      <c r="C19" s="11">
        <f t="shared" si="3"/>
        <v>5175</v>
      </c>
    </row>
    <row r="20" spans="1:22" x14ac:dyDescent="0.25">
      <c r="A20" s="9" t="s">
        <v>84</v>
      </c>
      <c r="B20" s="10">
        <v>3600</v>
      </c>
      <c r="C20" s="11">
        <f t="shared" si="3"/>
        <v>4140</v>
      </c>
    </row>
    <row r="21" spans="1:22" x14ac:dyDescent="0.25">
      <c r="A21" s="9" t="s">
        <v>85</v>
      </c>
      <c r="B21" s="10">
        <v>4861</v>
      </c>
      <c r="C21" s="11">
        <f t="shared" si="3"/>
        <v>5590.15</v>
      </c>
    </row>
    <row r="22" spans="1:22" x14ac:dyDescent="0.25">
      <c r="A22" s="9" t="s">
        <v>86</v>
      </c>
      <c r="B22" s="10">
        <v>503</v>
      </c>
      <c r="C22" s="11">
        <f t="shared" si="3"/>
        <v>503</v>
      </c>
    </row>
    <row r="23" spans="1:22" x14ac:dyDescent="0.25">
      <c r="A23" s="9" t="s">
        <v>87</v>
      </c>
      <c r="B23" s="10">
        <v>900</v>
      </c>
      <c r="C23" s="11">
        <f t="shared" si="3"/>
        <v>1035</v>
      </c>
    </row>
    <row r="24" spans="1:22" x14ac:dyDescent="0.25">
      <c r="A24" s="9" t="s">
        <v>88</v>
      </c>
      <c r="B24" s="10">
        <v>700</v>
      </c>
      <c r="C24" s="11">
        <f t="shared" si="3"/>
        <v>700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"/>
  <sheetViews>
    <sheetView tabSelected="1" zoomScale="160" zoomScaleNormal="160" workbookViewId="0">
      <selection activeCell="C2" sqref="C2"/>
    </sheetView>
  </sheetViews>
  <sheetFormatPr defaultRowHeight="15" x14ac:dyDescent="0.25"/>
  <cols>
    <col min="1" max="1" width="15.85546875" style="2" customWidth="1"/>
    <col min="2" max="2" width="16" style="2" customWidth="1"/>
    <col min="3" max="3" width="78.42578125" customWidth="1"/>
    <col min="4" max="4" width="18.140625" customWidth="1"/>
  </cols>
  <sheetData>
    <row r="1" spans="1:8" s="1" customFormat="1" ht="15.75" thickTop="1" x14ac:dyDescent="0.25">
      <c r="A1" s="3" t="s">
        <v>120</v>
      </c>
      <c r="B1" s="4" t="s">
        <v>119</v>
      </c>
      <c r="C1" s="5" t="s">
        <v>121</v>
      </c>
      <c r="E1" s="103" t="s">
        <v>124</v>
      </c>
      <c r="F1" s="104"/>
      <c r="G1" s="104"/>
      <c r="H1" s="105"/>
    </row>
    <row r="2" spans="1:8" ht="24.75" x14ac:dyDescent="0.5">
      <c r="A2" s="6">
        <v>51</v>
      </c>
      <c r="B2" s="6">
        <v>43</v>
      </c>
      <c r="C2" s="79">
        <f>IF(A2-B2&lt;0,B2-A2,A2-B2)</f>
        <v>8</v>
      </c>
      <c r="D2" s="2"/>
      <c r="E2" s="106"/>
      <c r="F2" s="107"/>
      <c r="G2" s="107"/>
      <c r="H2" s="108"/>
    </row>
    <row r="3" spans="1:8" ht="24.75" x14ac:dyDescent="0.5">
      <c r="A3" s="6">
        <v>65</v>
      </c>
      <c r="B3" s="6">
        <v>72</v>
      </c>
      <c r="C3" s="79">
        <f t="shared" ref="C3:C12" si="0">IF(A3-B3&lt;0,B3-A3,A3-B3)</f>
        <v>7</v>
      </c>
      <c r="D3" s="2"/>
      <c r="E3" s="106"/>
      <c r="F3" s="107"/>
      <c r="G3" s="107"/>
      <c r="H3" s="108"/>
    </row>
    <row r="4" spans="1:8" ht="24.75" x14ac:dyDescent="0.5">
      <c r="A4" s="6">
        <v>39</v>
      </c>
      <c r="B4" s="6">
        <v>25</v>
      </c>
      <c r="C4" s="79">
        <f t="shared" si="0"/>
        <v>14</v>
      </c>
      <c r="D4" s="2"/>
      <c r="E4" s="106"/>
      <c r="F4" s="107"/>
      <c r="G4" s="107"/>
      <c r="H4" s="108"/>
    </row>
    <row r="5" spans="1:8" ht="24.75" x14ac:dyDescent="0.5">
      <c r="A5" s="6">
        <v>27</v>
      </c>
      <c r="B5" s="6">
        <v>124</v>
      </c>
      <c r="C5" s="79">
        <f t="shared" si="0"/>
        <v>97</v>
      </c>
      <c r="D5" s="2"/>
      <c r="E5" s="106"/>
      <c r="F5" s="107"/>
      <c r="G5" s="107"/>
      <c r="H5" s="108"/>
    </row>
    <row r="6" spans="1:8" ht="25.5" thickBot="1" x14ac:dyDescent="0.55000000000000004">
      <c r="A6" s="6">
        <v>43</v>
      </c>
      <c r="B6" s="6">
        <v>36</v>
      </c>
      <c r="C6" s="79">
        <f t="shared" si="0"/>
        <v>7</v>
      </c>
      <c r="D6" s="2"/>
      <c r="E6" s="109"/>
      <c r="F6" s="110"/>
      <c r="G6" s="110"/>
      <c r="H6" s="111"/>
    </row>
    <row r="7" spans="1:8" ht="25.5" thickTop="1" x14ac:dyDescent="0.5">
      <c r="A7" s="6">
        <v>10</v>
      </c>
      <c r="B7" s="6">
        <v>95</v>
      </c>
      <c r="C7" s="79">
        <f t="shared" si="0"/>
        <v>85</v>
      </c>
      <c r="D7" s="2"/>
    </row>
    <row r="8" spans="1:8" ht="24.75" x14ac:dyDescent="0.5">
      <c r="A8" s="6">
        <v>96</v>
      </c>
      <c r="B8" s="6">
        <v>874</v>
      </c>
      <c r="C8" s="79">
        <f t="shared" si="0"/>
        <v>778</v>
      </c>
      <c r="D8" s="2"/>
    </row>
    <row r="9" spans="1:8" ht="24.75" x14ac:dyDescent="0.5">
      <c r="A9" s="6">
        <v>123</v>
      </c>
      <c r="B9" s="6">
        <v>102</v>
      </c>
      <c r="C9" s="79">
        <f t="shared" si="0"/>
        <v>21</v>
      </c>
      <c r="D9" s="2"/>
    </row>
    <row r="10" spans="1:8" ht="24.75" x14ac:dyDescent="0.5">
      <c r="A10" s="6">
        <v>4178</v>
      </c>
      <c r="B10" s="6">
        <v>3978</v>
      </c>
      <c r="C10" s="79">
        <f t="shared" si="0"/>
        <v>200</v>
      </c>
      <c r="D10" s="2"/>
    </row>
    <row r="11" spans="1:8" ht="24.75" x14ac:dyDescent="0.5">
      <c r="A11" s="6">
        <v>210</v>
      </c>
      <c r="B11" s="6">
        <v>223</v>
      </c>
      <c r="C11" s="79">
        <f t="shared" si="0"/>
        <v>13</v>
      </c>
      <c r="D11" s="2"/>
    </row>
    <row r="12" spans="1:8" ht="24.75" x14ac:dyDescent="0.5">
      <c r="A12" s="6">
        <v>89</v>
      </c>
      <c r="B12" s="6">
        <v>95</v>
      </c>
      <c r="C12" s="79">
        <f t="shared" si="0"/>
        <v>6</v>
      </c>
      <c r="D12" s="2"/>
    </row>
  </sheetData>
  <mergeCells count="1">
    <mergeCell ref="E1:H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Correia Perrucci Barreto</dc:creator>
  <cp:lastModifiedBy>WILCK GOMES DE OLIVEIRA</cp:lastModifiedBy>
  <dcterms:created xsi:type="dcterms:W3CDTF">2008-08-17T17:03:38Z</dcterms:created>
  <dcterms:modified xsi:type="dcterms:W3CDTF">2026-03-31T23:40:51Z</dcterms:modified>
</cp:coreProperties>
</file>