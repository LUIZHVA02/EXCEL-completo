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ck.alunos\Desktop\Luiz Henrique Vidal Araujo - Excel completo\"/>
    </mc:Choice>
  </mc:AlternateContent>
  <xr:revisionPtr revIDLastSave="0" documentId="13_ncr:1_{DAFA1B2F-EE00-4703-866C-E02F467D79D7}" xr6:coauthVersionLast="36" xr6:coauthVersionMax="36" xr10:uidLastSave="{00000000-0000-0000-0000-000000000000}"/>
  <bookViews>
    <workbookView xWindow="0" yWindow="0" windowWidth="28800" windowHeight="12105" activeTab="5" xr2:uid="{A5E3398E-808E-49BA-92C6-AB43937C9D3D}"/>
  </bookViews>
  <sheets>
    <sheet name="01-formatacao" sheetId="1" r:id="rId1"/>
    <sheet name="02-Listas" sheetId="2" r:id="rId2"/>
    <sheet name="03-Formatos Personalizados" sheetId="3" r:id="rId3"/>
    <sheet name="04-Classificacao e filtro" sheetId="4" r:id="rId4"/>
    <sheet name="05-Formulas e Funcoes" sheetId="6" r:id="rId5"/>
    <sheet name="06-Porcentagem" sheetId="7" r:id="rId6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" i="7" l="1"/>
  <c r="C5" i="7"/>
  <c r="C6" i="7"/>
  <c r="C7" i="7"/>
  <c r="C8" i="7"/>
  <c r="C9" i="7"/>
  <c r="C10" i="7"/>
  <c r="C11" i="7"/>
  <c r="C3" i="7"/>
  <c r="E4" i="6" l="1"/>
  <c r="E5" i="6"/>
  <c r="E6" i="6"/>
  <c r="E7" i="6"/>
  <c r="E3" i="6"/>
  <c r="F4" i="6"/>
  <c r="G4" i="6"/>
  <c r="H4" i="6"/>
  <c r="F5" i="6"/>
  <c r="G5" i="6"/>
  <c r="H5" i="6"/>
  <c r="F6" i="6"/>
  <c r="G6" i="6"/>
  <c r="H6" i="6"/>
  <c r="F7" i="6"/>
  <c r="G7" i="6"/>
  <c r="H7" i="6"/>
  <c r="H3" i="6"/>
  <c r="G3" i="6"/>
  <c r="F3" i="6"/>
  <c r="C10" i="6"/>
  <c r="D10" i="6"/>
  <c r="C11" i="6"/>
  <c r="D11" i="6"/>
  <c r="B11" i="6"/>
  <c r="B10" i="6"/>
  <c r="C9" i="6"/>
  <c r="D9" i="6"/>
  <c r="B9" i="6"/>
  <c r="C8" i="6"/>
  <c r="D8" i="6"/>
  <c r="B8" i="6"/>
  <c r="D3" i="1" l="1"/>
  <c r="D4" i="1"/>
  <c r="D5" i="1"/>
  <c r="D6" i="1"/>
  <c r="D2" i="1"/>
</calcChain>
</file>

<file path=xl/sharedStrings.xml><?xml version="1.0" encoding="utf-8"?>
<sst xmlns="http://schemas.openxmlformats.org/spreadsheetml/2006/main" count="125" uniqueCount="99">
  <si>
    <t>CADASTRO DE ALUNOS</t>
  </si>
  <si>
    <t>EXCEL</t>
  </si>
  <si>
    <t>SENAI</t>
  </si>
  <si>
    <t>SÁBADO</t>
  </si>
  <si>
    <t>COR</t>
  </si>
  <si>
    <t>CARRO</t>
  </si>
  <si>
    <t>FRUTA</t>
  </si>
  <si>
    <t>Azul</t>
  </si>
  <si>
    <t>Branco</t>
  </si>
  <si>
    <t>Preto</t>
  </si>
  <si>
    <t>Verde</t>
  </si>
  <si>
    <t>Amarelo</t>
  </si>
  <si>
    <t>Prisma</t>
  </si>
  <si>
    <t>Centra</t>
  </si>
  <si>
    <t>Pálio</t>
  </si>
  <si>
    <t>Golf</t>
  </si>
  <si>
    <t>Celta</t>
  </si>
  <si>
    <t>Maçã</t>
  </si>
  <si>
    <t>Abacate</t>
  </si>
  <si>
    <t>Banana</t>
  </si>
  <si>
    <t>Laranja</t>
  </si>
  <si>
    <t>Uva</t>
  </si>
  <si>
    <t>MÊS</t>
  </si>
  <si>
    <t>SEMANA</t>
  </si>
  <si>
    <t>Janeiro</t>
  </si>
  <si>
    <t>Domingo</t>
  </si>
  <si>
    <t>Fevereiro</t>
  </si>
  <si>
    <t>Segunda-feira</t>
  </si>
  <si>
    <t>Março</t>
  </si>
  <si>
    <t>Terça-feira</t>
  </si>
  <si>
    <t>Abril</t>
  </si>
  <si>
    <t>Quarta-feira</t>
  </si>
  <si>
    <t>Maio</t>
  </si>
  <si>
    <t>Quinta-feira</t>
  </si>
  <si>
    <t>Junho</t>
  </si>
  <si>
    <t>Sexta-feira</t>
  </si>
  <si>
    <t>Julho</t>
  </si>
  <si>
    <t>Sábado</t>
  </si>
  <si>
    <t>Agosto</t>
  </si>
  <si>
    <t>Setembro</t>
  </si>
  <si>
    <t>Outubro</t>
  </si>
  <si>
    <t>DEFINIÇÃO DE FORMATOS PERSONALIZADOS</t>
  </si>
  <si>
    <t>CÓDIGO COM 4 DÍGITOS</t>
  </si>
  <si>
    <t>CEP</t>
  </si>
  <si>
    <t>DATA ABREVIADA</t>
  </si>
  <si>
    <t>CPF</t>
  </si>
  <si>
    <t>CLASSIFICAÇÃO DE DADOS</t>
  </si>
  <si>
    <t>NOME</t>
  </si>
  <si>
    <t>CARGO</t>
  </si>
  <si>
    <t>DEPARTAMENTO</t>
  </si>
  <si>
    <t>SALÁRIO</t>
  </si>
  <si>
    <t>Administração</t>
  </si>
  <si>
    <t>Comercial</t>
  </si>
  <si>
    <t>Marketing</t>
  </si>
  <si>
    <t>Contabilidade</t>
  </si>
  <si>
    <t>Arte</t>
  </si>
  <si>
    <t>Secretária</t>
  </si>
  <si>
    <t>Auxiliar Administrativo</t>
  </si>
  <si>
    <t>Gerente de Vendas</t>
  </si>
  <si>
    <t>Promotor de Marketing</t>
  </si>
  <si>
    <t>Vendedor</t>
  </si>
  <si>
    <t>Contador</t>
  </si>
  <si>
    <t>Recepcionista</t>
  </si>
  <si>
    <t>Representante de Vendas</t>
  </si>
  <si>
    <t>Projetista</t>
  </si>
  <si>
    <t>Gerente Administrativo</t>
  </si>
  <si>
    <t>Assistente de Marketing</t>
  </si>
  <si>
    <t>Joana Ferreira</t>
  </si>
  <si>
    <t>Adriano Gomes</t>
  </si>
  <si>
    <t>Anderson Santos</t>
  </si>
  <si>
    <t>Rogério Oliveira</t>
  </si>
  <si>
    <t>Alcides Caio Barretos</t>
  </si>
  <si>
    <t>João Souza Lima</t>
  </si>
  <si>
    <t>Fabiana Venâncio</t>
  </si>
  <si>
    <t>Pedro Elder Júnior</t>
  </si>
  <si>
    <t>Andressa Fagundes</t>
  </si>
  <si>
    <t>Paulo Rosa Antunes</t>
  </si>
  <si>
    <t>Tatiana Félix</t>
  </si>
  <si>
    <t>CONTROLE DE VENDAS</t>
  </si>
  <si>
    <t>Eduarda</t>
  </si>
  <si>
    <t>Ana Luiza</t>
  </si>
  <si>
    <t>Rogério</t>
  </si>
  <si>
    <t>Henrique</t>
  </si>
  <si>
    <t>Luiz Fernando</t>
  </si>
  <si>
    <t>SOMA DO MÊS</t>
  </si>
  <si>
    <t>VALOR MÁXIMO DO MÊS</t>
  </si>
  <si>
    <t>VALOR MÍNIMO DO MÊS</t>
  </si>
  <si>
    <t>MÉDIA DE VALORES DO MÊS</t>
  </si>
  <si>
    <t>JAN</t>
  </si>
  <si>
    <t>FEV</t>
  </si>
  <si>
    <t>MAR</t>
  </si>
  <si>
    <t>SOMA DO TRIMESTRE</t>
  </si>
  <si>
    <t>VALOR MÁXIMO DO TRIMESTRE</t>
  </si>
  <si>
    <t>VALOR MÍNIMO DO TRIMESTRE</t>
  </si>
  <si>
    <t>MÉDIA DE VALORES DO TRIMESTRE</t>
  </si>
  <si>
    <t>EXEMPLO DE CÁLCULOS COM PORCENTAGEM</t>
  </si>
  <si>
    <t>VALOR PARA CÁLCULO</t>
  </si>
  <si>
    <t>PORCENTAGEM A SER CALCULADA</t>
  </si>
  <si>
    <t>RESULTADO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</si>
</sst>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\ #,##0.00"/>
    <numFmt numFmtId="165" formatCode="_-[$R$-416]\ * #,##0.00_-;\-[$R$-416]\ * #,##0.00_-;_-[$R$-416]\ * &quot;-&quot;??_-;_-@_-"/>
    <numFmt numFmtId="166" formatCode="[$-F800]dddd\,\ mmmm\ dd\,\ yyyy"/>
    <numFmt numFmtId="167" formatCode="0.0000"/>
    <numFmt numFmtId="168" formatCode="000&quot;.&quot;000&quot;.&quot;000&quot;-&quot;00"/>
    <numFmt numFmtId="169" formatCode="00000&quot;-&quot;000"/>
    <numFmt numFmtId="170" formatCode="0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7">
    <xf numFmtId="0" fontId="0" fillId="0" borderId="0" xfId="0"/>
    <xf numFmtId="164" fontId="0" fillId="0" borderId="0" xfId="0" applyNumberFormat="1"/>
    <xf numFmtId="165" fontId="0" fillId="0" borderId="0" xfId="2" applyNumberFormat="1" applyFont="1"/>
    <xf numFmtId="2" fontId="0" fillId="0" borderId="0" xfId="0" applyNumberFormat="1"/>
    <xf numFmtId="3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166" fontId="0" fillId="0" borderId="0" xfId="0" applyNumberFormat="1"/>
    <xf numFmtId="167" fontId="0" fillId="0" borderId="0" xfId="0" applyNumberFormat="1"/>
    <xf numFmtId="9" fontId="0" fillId="0" borderId="0" xfId="0" applyNumberFormat="1"/>
    <xf numFmtId="4" fontId="0" fillId="0" borderId="0" xfId="2" applyNumberFormat="1" applyFont="1"/>
    <xf numFmtId="0" fontId="2" fillId="2" borderId="1" xfId="0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0" borderId="1" xfId="2" applyNumberFormat="1" applyFont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169" fontId="0" fillId="0" borderId="1" xfId="0" applyNumberFormat="1" applyBorder="1" applyAlignment="1">
      <alignment horizontal="center" vertical="center"/>
    </xf>
    <xf numFmtId="0" fontId="0" fillId="0" borderId="2" xfId="0" applyBorder="1"/>
    <xf numFmtId="165" fontId="0" fillId="0" borderId="2" xfId="0" applyNumberFormat="1" applyBorder="1"/>
    <xf numFmtId="165" fontId="0" fillId="4" borderId="2" xfId="0" applyNumberForma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 wrapText="1"/>
    </xf>
    <xf numFmtId="165" fontId="0" fillId="4" borderId="2" xfId="0" applyNumberFormat="1" applyFill="1" applyBorder="1"/>
    <xf numFmtId="0" fontId="0" fillId="3" borderId="2" xfId="0" applyFill="1" applyBorder="1" applyAlignment="1">
      <alignment horizontal="center" vertical="center" wrapText="1"/>
    </xf>
    <xf numFmtId="44" fontId="0" fillId="0" borderId="2" xfId="0" applyNumberFormat="1" applyBorder="1"/>
    <xf numFmtId="9" fontId="0" fillId="0" borderId="2" xfId="0" applyNumberFormat="1" applyBorder="1" applyAlignment="1">
      <alignment horizontal="center" vertical="center"/>
    </xf>
    <xf numFmtId="170" fontId="0" fillId="0" borderId="1" xfId="1" applyNumberFormat="1" applyFont="1" applyBorder="1" applyAlignment="1">
      <alignment horizontal="center" vertical="center"/>
    </xf>
    <xf numFmtId="17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textRotation="90"/>
    </xf>
    <xf numFmtId="0" fontId="0" fillId="0" borderId="0" xfId="0" applyAlignment="1">
      <alignment horizontal="center" vertical="center" textRotation="45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</cellXfs>
  <cellStyles count="3">
    <cellStyle name="Moeda" xfId="2" builtinId="4"/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10DB8-8BF6-4AD4-92F9-82E65BEF301B}">
  <dimension ref="A1:D7"/>
  <sheetViews>
    <sheetView workbookViewId="0">
      <selection activeCell="F1" sqref="F1"/>
    </sheetView>
  </sheetViews>
  <sheetFormatPr defaultRowHeight="15" x14ac:dyDescent="0.25"/>
  <cols>
    <col min="3" max="3" width="16.85546875" customWidth="1"/>
    <col min="4" max="4" width="27.28515625" customWidth="1"/>
  </cols>
  <sheetData>
    <row r="1" spans="1:4" x14ac:dyDescent="0.25">
      <c r="A1" s="30" t="s">
        <v>0</v>
      </c>
      <c r="B1" s="30"/>
      <c r="C1" s="30"/>
      <c r="D1" s="30"/>
    </row>
    <row r="2" spans="1:4" x14ac:dyDescent="0.25">
      <c r="A2" s="31" t="s">
        <v>1</v>
      </c>
      <c r="B2" s="32" t="s">
        <v>2</v>
      </c>
      <c r="C2" s="2">
        <v>23</v>
      </c>
      <c r="D2" s="1">
        <f>C2</f>
        <v>23</v>
      </c>
    </row>
    <row r="3" spans="1:4" x14ac:dyDescent="0.25">
      <c r="A3" s="31"/>
      <c r="B3" s="32"/>
      <c r="C3" s="3">
        <v>0.1</v>
      </c>
      <c r="D3" s="10">
        <f t="shared" ref="D3:D6" si="0">C3</f>
        <v>0.1</v>
      </c>
    </row>
    <row r="4" spans="1:4" x14ac:dyDescent="0.25">
      <c r="A4" s="31"/>
      <c r="B4" s="32"/>
      <c r="C4">
        <v>2.58</v>
      </c>
      <c r="D4" s="9">
        <f t="shared" si="0"/>
        <v>2.58</v>
      </c>
    </row>
    <row r="5" spans="1:4" x14ac:dyDescent="0.25">
      <c r="A5" s="31"/>
      <c r="B5" s="32"/>
      <c r="C5" s="4">
        <v>1000</v>
      </c>
      <c r="D5" s="11">
        <f t="shared" si="0"/>
        <v>1000</v>
      </c>
    </row>
    <row r="6" spans="1:4" x14ac:dyDescent="0.25">
      <c r="A6" s="31"/>
      <c r="B6" s="32"/>
      <c r="C6" s="5">
        <v>42567</v>
      </c>
      <c r="D6" s="8">
        <f t="shared" si="0"/>
        <v>42567</v>
      </c>
    </row>
    <row r="7" spans="1:4" ht="30" x14ac:dyDescent="0.25">
      <c r="A7" s="31"/>
      <c r="B7" s="32"/>
      <c r="C7" s="6" t="s">
        <v>0</v>
      </c>
      <c r="D7" s="7" t="s">
        <v>3</v>
      </c>
    </row>
  </sheetData>
  <mergeCells count="3">
    <mergeCell ref="A1:D1"/>
    <mergeCell ref="A2:A7"/>
    <mergeCell ref="B2:B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CC2B0-9ED6-4BF3-B312-FF0636BAB527}">
  <dimension ref="A1:F11"/>
  <sheetViews>
    <sheetView workbookViewId="0">
      <selection activeCell="D4" sqref="D4"/>
    </sheetView>
  </sheetViews>
  <sheetFormatPr defaultRowHeight="15" x14ac:dyDescent="0.25"/>
  <cols>
    <col min="5" max="6" width="18.28515625" customWidth="1"/>
  </cols>
  <sheetData>
    <row r="1" spans="1:6" x14ac:dyDescent="0.25">
      <c r="A1" s="7" t="s">
        <v>4</v>
      </c>
      <c r="B1" s="7" t="s">
        <v>5</v>
      </c>
      <c r="C1" s="7" t="s">
        <v>6</v>
      </c>
      <c r="E1" s="7" t="s">
        <v>22</v>
      </c>
      <c r="F1" s="7" t="s">
        <v>23</v>
      </c>
    </row>
    <row r="2" spans="1:6" x14ac:dyDescent="0.25">
      <c r="A2" s="7" t="s">
        <v>7</v>
      </c>
      <c r="B2" s="7" t="s">
        <v>12</v>
      </c>
      <c r="C2" s="7" t="s">
        <v>17</v>
      </c>
      <c r="E2" s="7" t="s">
        <v>24</v>
      </c>
      <c r="F2" s="7" t="s">
        <v>25</v>
      </c>
    </row>
    <row r="3" spans="1:6" x14ac:dyDescent="0.25">
      <c r="A3" s="7" t="s">
        <v>8</v>
      </c>
      <c r="B3" s="7" t="s">
        <v>13</v>
      </c>
      <c r="C3" s="7" t="s">
        <v>18</v>
      </c>
      <c r="E3" s="7" t="s">
        <v>26</v>
      </c>
      <c r="F3" s="7" t="s">
        <v>27</v>
      </c>
    </row>
    <row r="4" spans="1:6" x14ac:dyDescent="0.25">
      <c r="A4" s="7" t="s">
        <v>9</v>
      </c>
      <c r="B4" s="7" t="s">
        <v>14</v>
      </c>
      <c r="C4" s="7" t="s">
        <v>19</v>
      </c>
      <c r="E4" s="7" t="s">
        <v>28</v>
      </c>
      <c r="F4" s="7" t="s">
        <v>29</v>
      </c>
    </row>
    <row r="5" spans="1:6" x14ac:dyDescent="0.25">
      <c r="A5" s="7" t="s">
        <v>10</v>
      </c>
      <c r="B5" s="7" t="s">
        <v>15</v>
      </c>
      <c r="C5" s="7" t="s">
        <v>20</v>
      </c>
      <c r="E5" s="7" t="s">
        <v>30</v>
      </c>
      <c r="F5" s="7" t="s">
        <v>31</v>
      </c>
    </row>
    <row r="6" spans="1:6" x14ac:dyDescent="0.25">
      <c r="A6" s="7" t="s">
        <v>11</v>
      </c>
      <c r="B6" s="7" t="s">
        <v>16</v>
      </c>
      <c r="C6" s="7" t="s">
        <v>21</v>
      </c>
      <c r="E6" s="7" t="s">
        <v>32</v>
      </c>
      <c r="F6" s="7" t="s">
        <v>33</v>
      </c>
    </row>
    <row r="7" spans="1:6" x14ac:dyDescent="0.25">
      <c r="A7" s="7" t="s">
        <v>7</v>
      </c>
      <c r="B7" s="7" t="s">
        <v>12</v>
      </c>
      <c r="C7" s="7" t="s">
        <v>17</v>
      </c>
      <c r="E7" s="7" t="s">
        <v>34</v>
      </c>
      <c r="F7" s="7" t="s">
        <v>35</v>
      </c>
    </row>
    <row r="8" spans="1:6" x14ac:dyDescent="0.25">
      <c r="A8" s="7" t="s">
        <v>8</v>
      </c>
      <c r="B8" s="7" t="s">
        <v>13</v>
      </c>
      <c r="C8" s="7" t="s">
        <v>18</v>
      </c>
      <c r="E8" s="7" t="s">
        <v>36</v>
      </c>
      <c r="F8" s="7" t="s">
        <v>37</v>
      </c>
    </row>
    <row r="9" spans="1:6" x14ac:dyDescent="0.25">
      <c r="A9" s="7" t="s">
        <v>9</v>
      </c>
      <c r="B9" s="7" t="s">
        <v>14</v>
      </c>
      <c r="C9" s="7" t="s">
        <v>19</v>
      </c>
      <c r="E9" s="7" t="s">
        <v>38</v>
      </c>
      <c r="F9" s="7" t="s">
        <v>25</v>
      </c>
    </row>
    <row r="10" spans="1:6" x14ac:dyDescent="0.25">
      <c r="A10" s="7" t="s">
        <v>10</v>
      </c>
      <c r="B10" s="7" t="s">
        <v>15</v>
      </c>
      <c r="C10" s="7" t="s">
        <v>20</v>
      </c>
      <c r="E10" s="7" t="s">
        <v>39</v>
      </c>
      <c r="F10" s="7" t="s">
        <v>27</v>
      </c>
    </row>
    <row r="11" spans="1:6" x14ac:dyDescent="0.25">
      <c r="A11" s="7" t="s">
        <v>11</v>
      </c>
      <c r="B11" s="7" t="s">
        <v>16</v>
      </c>
      <c r="C11" s="7" t="s">
        <v>21</v>
      </c>
      <c r="E11" s="7" t="s">
        <v>40</v>
      </c>
      <c r="F11" s="7" t="s">
        <v>29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D2B02-3BF5-4230-A3BE-033FEB224CD4}">
  <dimension ref="A1:D7"/>
  <sheetViews>
    <sheetView workbookViewId="0">
      <selection activeCell="A9" sqref="A9"/>
    </sheetView>
  </sheetViews>
  <sheetFormatPr defaultRowHeight="15" x14ac:dyDescent="0.25"/>
  <cols>
    <col min="1" max="4" width="18.28515625" customWidth="1"/>
  </cols>
  <sheetData>
    <row r="1" spans="1:4" x14ac:dyDescent="0.25">
      <c r="A1" s="33" t="s">
        <v>41</v>
      </c>
      <c r="B1" s="33"/>
      <c r="C1" s="33"/>
      <c r="D1" s="33"/>
    </row>
    <row r="2" spans="1:4" ht="30" x14ac:dyDescent="0.25">
      <c r="A2" s="12" t="s">
        <v>42</v>
      </c>
      <c r="B2" s="12" t="s">
        <v>43</v>
      </c>
      <c r="C2" s="12" t="s">
        <v>44</v>
      </c>
      <c r="D2" s="12" t="s">
        <v>45</v>
      </c>
    </row>
    <row r="3" spans="1:4" x14ac:dyDescent="0.25">
      <c r="A3" s="28">
        <v>19</v>
      </c>
      <c r="B3" s="18">
        <v>5183460</v>
      </c>
      <c r="C3" s="13">
        <v>43587</v>
      </c>
      <c r="D3" s="17">
        <v>37498513547</v>
      </c>
    </row>
    <row r="4" spans="1:4" x14ac:dyDescent="0.25">
      <c r="A4" s="29">
        <v>23</v>
      </c>
      <c r="B4" s="18">
        <v>1986547</v>
      </c>
      <c r="C4" s="13">
        <v>44442</v>
      </c>
      <c r="D4" s="17">
        <v>2184521576</v>
      </c>
    </row>
    <row r="5" spans="1:4" x14ac:dyDescent="0.25">
      <c r="A5" s="29">
        <v>845</v>
      </c>
      <c r="B5" s="18">
        <v>4125687</v>
      </c>
      <c r="C5" s="13">
        <v>30502</v>
      </c>
      <c r="D5" s="17">
        <v>30349821576</v>
      </c>
    </row>
    <row r="6" spans="1:4" x14ac:dyDescent="0.25">
      <c r="A6" s="29">
        <v>1249</v>
      </c>
      <c r="B6" s="18">
        <v>4495321</v>
      </c>
      <c r="C6" s="13">
        <v>45937</v>
      </c>
      <c r="D6" s="17">
        <v>20049851583</v>
      </c>
    </row>
    <row r="7" spans="1:4" x14ac:dyDescent="0.25">
      <c r="A7" s="29">
        <v>30</v>
      </c>
      <c r="B7" s="18">
        <v>17848663</v>
      </c>
      <c r="C7" s="13">
        <v>36586</v>
      </c>
      <c r="D7" s="17">
        <v>55498702154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A4B68-0078-4808-BD53-5631F247E162}">
  <dimension ref="A1:D13"/>
  <sheetViews>
    <sheetView workbookViewId="0">
      <selection activeCell="B14" sqref="B14"/>
    </sheetView>
  </sheetViews>
  <sheetFormatPr defaultRowHeight="15" x14ac:dyDescent="0.25"/>
  <cols>
    <col min="1" max="1" width="22.85546875" customWidth="1"/>
    <col min="2" max="2" width="27.42578125" customWidth="1"/>
    <col min="3" max="4" width="18.28515625" customWidth="1"/>
  </cols>
  <sheetData>
    <row r="1" spans="1:4" x14ac:dyDescent="0.25">
      <c r="A1" s="34" t="s">
        <v>46</v>
      </c>
      <c r="B1" s="34"/>
      <c r="C1" s="34"/>
      <c r="D1" s="34"/>
    </row>
    <row r="2" spans="1:4" x14ac:dyDescent="0.25">
      <c r="A2" s="14" t="s">
        <v>47</v>
      </c>
      <c r="B2" s="14" t="s">
        <v>48</v>
      </c>
      <c r="C2" s="14" t="s">
        <v>49</v>
      </c>
      <c r="D2" s="14" t="s">
        <v>50</v>
      </c>
    </row>
    <row r="3" spans="1:4" x14ac:dyDescent="0.25">
      <c r="A3" s="15" t="s">
        <v>68</v>
      </c>
      <c r="B3" s="15" t="s">
        <v>57</v>
      </c>
      <c r="C3" s="15" t="s">
        <v>51</v>
      </c>
      <c r="D3" s="16">
        <v>1850</v>
      </c>
    </row>
    <row r="4" spans="1:4" x14ac:dyDescent="0.25">
      <c r="A4" s="15" t="s">
        <v>71</v>
      </c>
      <c r="B4" s="15" t="s">
        <v>60</v>
      </c>
      <c r="C4" s="15" t="s">
        <v>52</v>
      </c>
      <c r="D4" s="16">
        <v>2100</v>
      </c>
    </row>
    <row r="5" spans="1:4" x14ac:dyDescent="0.25">
      <c r="A5" s="15" t="s">
        <v>69</v>
      </c>
      <c r="B5" s="15" t="s">
        <v>58</v>
      </c>
      <c r="C5" s="15" t="s">
        <v>52</v>
      </c>
      <c r="D5" s="16">
        <v>4500</v>
      </c>
    </row>
    <row r="6" spans="1:4" x14ac:dyDescent="0.25">
      <c r="A6" s="15" t="s">
        <v>75</v>
      </c>
      <c r="B6" s="15" t="s">
        <v>64</v>
      </c>
      <c r="C6" s="15" t="s">
        <v>55</v>
      </c>
      <c r="D6" s="16">
        <v>3100</v>
      </c>
    </row>
    <row r="7" spans="1:4" x14ac:dyDescent="0.25">
      <c r="A7" s="15" t="s">
        <v>73</v>
      </c>
      <c r="B7" s="15" t="s">
        <v>62</v>
      </c>
      <c r="C7" s="15" t="s">
        <v>51</v>
      </c>
      <c r="D7" s="16">
        <v>1600</v>
      </c>
    </row>
    <row r="8" spans="1:4" x14ac:dyDescent="0.25">
      <c r="A8" s="15" t="s">
        <v>67</v>
      </c>
      <c r="B8" s="15" t="s">
        <v>56</v>
      </c>
      <c r="C8" s="15" t="s">
        <v>51</v>
      </c>
      <c r="D8" s="16">
        <v>2200</v>
      </c>
    </row>
    <row r="9" spans="1:4" x14ac:dyDescent="0.25">
      <c r="A9" s="15" t="s">
        <v>72</v>
      </c>
      <c r="B9" s="15" t="s">
        <v>61</v>
      </c>
      <c r="C9" s="15" t="s">
        <v>54</v>
      </c>
      <c r="D9" s="16">
        <v>3680</v>
      </c>
    </row>
    <row r="10" spans="1:4" x14ac:dyDescent="0.25">
      <c r="A10" s="15" t="s">
        <v>76</v>
      </c>
      <c r="B10" s="15" t="s">
        <v>65</v>
      </c>
      <c r="C10" s="15" t="s">
        <v>51</v>
      </c>
      <c r="D10" s="16">
        <v>4750</v>
      </c>
    </row>
    <row r="11" spans="1:4" x14ac:dyDescent="0.25">
      <c r="A11" s="15" t="s">
        <v>74</v>
      </c>
      <c r="B11" s="15" t="s">
        <v>63</v>
      </c>
      <c r="C11" s="15" t="s">
        <v>52</v>
      </c>
      <c r="D11" s="16">
        <v>1500</v>
      </c>
    </row>
    <row r="12" spans="1:4" x14ac:dyDescent="0.25">
      <c r="A12" s="15" t="s">
        <v>70</v>
      </c>
      <c r="B12" s="15" t="s">
        <v>59</v>
      </c>
      <c r="C12" s="15" t="s">
        <v>53</v>
      </c>
      <c r="D12" s="16">
        <v>3800</v>
      </c>
    </row>
    <row r="13" spans="1:4" x14ac:dyDescent="0.25">
      <c r="A13" s="15" t="s">
        <v>77</v>
      </c>
      <c r="B13" s="15" t="s">
        <v>66</v>
      </c>
      <c r="C13" s="15" t="s">
        <v>53</v>
      </c>
      <c r="D13" s="16">
        <v>1910</v>
      </c>
    </row>
  </sheetData>
  <sortState ref="A3:D13">
    <sortCondition ref="A3"/>
  </sortState>
  <mergeCells count="1">
    <mergeCell ref="A1:D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4703D-800B-4AAF-8106-183BE170F6D6}">
  <dimension ref="A1:H11"/>
  <sheetViews>
    <sheetView workbookViewId="0">
      <selection activeCell="F8" sqref="F8"/>
    </sheetView>
  </sheetViews>
  <sheetFormatPr defaultRowHeight="15" x14ac:dyDescent="0.25"/>
  <cols>
    <col min="1" max="1" width="27.42578125" customWidth="1"/>
    <col min="2" max="4" width="13.7109375" customWidth="1"/>
    <col min="5" max="5" width="18.28515625" customWidth="1"/>
    <col min="6" max="8" width="22.85546875" customWidth="1"/>
  </cols>
  <sheetData>
    <row r="1" spans="1:8" x14ac:dyDescent="0.25">
      <c r="A1" s="35" t="s">
        <v>78</v>
      </c>
      <c r="B1" s="35"/>
      <c r="C1" s="35"/>
      <c r="D1" s="35"/>
      <c r="E1" s="35"/>
      <c r="F1" s="35"/>
      <c r="G1" s="35"/>
      <c r="H1" s="35"/>
    </row>
    <row r="2" spans="1:8" ht="30" x14ac:dyDescent="0.25">
      <c r="A2" s="23" t="s">
        <v>60</v>
      </c>
      <c r="B2" s="23" t="s">
        <v>88</v>
      </c>
      <c r="C2" s="23" t="s">
        <v>89</v>
      </c>
      <c r="D2" s="23" t="s">
        <v>90</v>
      </c>
      <c r="E2" s="23" t="s">
        <v>91</v>
      </c>
      <c r="F2" s="23" t="s">
        <v>92</v>
      </c>
      <c r="G2" s="23" t="s">
        <v>93</v>
      </c>
      <c r="H2" s="23" t="s">
        <v>94</v>
      </c>
    </row>
    <row r="3" spans="1:8" x14ac:dyDescent="0.25">
      <c r="A3" s="19" t="s">
        <v>79</v>
      </c>
      <c r="B3" s="20">
        <v>10200</v>
      </c>
      <c r="C3" s="20">
        <v>12400</v>
      </c>
      <c r="D3" s="20">
        <v>15800</v>
      </c>
      <c r="E3" s="24">
        <f>SUM(B3:D3)</f>
        <v>38400</v>
      </c>
      <c r="F3" s="24">
        <f>MAX(B3:D3)</f>
        <v>15800</v>
      </c>
      <c r="G3" s="24">
        <f>MIN(B3:D3)</f>
        <v>10200</v>
      </c>
      <c r="H3" s="24">
        <f>AVERAGE(B3:D3)</f>
        <v>12800</v>
      </c>
    </row>
    <row r="4" spans="1:8" x14ac:dyDescent="0.25">
      <c r="A4" s="19" t="s">
        <v>80</v>
      </c>
      <c r="B4" s="20">
        <v>11800</v>
      </c>
      <c r="C4" s="20">
        <v>13700</v>
      </c>
      <c r="D4" s="20">
        <v>16950</v>
      </c>
      <c r="E4" s="24">
        <f t="shared" ref="E4:E7" si="0">SUM(B4:D4)</f>
        <v>42450</v>
      </c>
      <c r="F4" s="24">
        <f t="shared" ref="F4:F7" si="1">MAX(B4:D4)</f>
        <v>16950</v>
      </c>
      <c r="G4" s="24">
        <f t="shared" ref="G4:G7" si="2">MIN(B4:D4)</f>
        <v>11800</v>
      </c>
      <c r="H4" s="24">
        <f t="shared" ref="H4:H7" si="3">AVERAGE(B4:D4)</f>
        <v>14150</v>
      </c>
    </row>
    <row r="5" spans="1:8" x14ac:dyDescent="0.25">
      <c r="A5" s="19" t="s">
        <v>81</v>
      </c>
      <c r="B5" s="20">
        <v>12750</v>
      </c>
      <c r="C5" s="20">
        <v>14920</v>
      </c>
      <c r="D5" s="20">
        <v>17850</v>
      </c>
      <c r="E5" s="24">
        <f t="shared" si="0"/>
        <v>45520</v>
      </c>
      <c r="F5" s="24">
        <f t="shared" si="1"/>
        <v>17850</v>
      </c>
      <c r="G5" s="24">
        <f t="shared" si="2"/>
        <v>12750</v>
      </c>
      <c r="H5" s="24">
        <f t="shared" si="3"/>
        <v>15173.333333333334</v>
      </c>
    </row>
    <row r="6" spans="1:8" x14ac:dyDescent="0.25">
      <c r="A6" s="19" t="s">
        <v>82</v>
      </c>
      <c r="B6" s="20">
        <v>13120</v>
      </c>
      <c r="C6" s="20">
        <v>15850</v>
      </c>
      <c r="D6" s="20">
        <v>18450</v>
      </c>
      <c r="E6" s="24">
        <f t="shared" si="0"/>
        <v>47420</v>
      </c>
      <c r="F6" s="24">
        <f t="shared" si="1"/>
        <v>18450</v>
      </c>
      <c r="G6" s="24">
        <f t="shared" si="2"/>
        <v>13120</v>
      </c>
      <c r="H6" s="24">
        <f t="shared" si="3"/>
        <v>15806.666666666666</v>
      </c>
    </row>
    <row r="7" spans="1:8" x14ac:dyDescent="0.25">
      <c r="A7" s="19" t="s">
        <v>83</v>
      </c>
      <c r="B7" s="20">
        <v>14520</v>
      </c>
      <c r="C7" s="20">
        <v>16450</v>
      </c>
      <c r="D7" s="20">
        <v>19200</v>
      </c>
      <c r="E7" s="24">
        <f t="shared" si="0"/>
        <v>50170</v>
      </c>
      <c r="F7" s="24">
        <f t="shared" si="1"/>
        <v>19200</v>
      </c>
      <c r="G7" s="24">
        <f t="shared" si="2"/>
        <v>14520</v>
      </c>
      <c r="H7" s="24">
        <f t="shared" si="3"/>
        <v>16723.333333333332</v>
      </c>
    </row>
    <row r="8" spans="1:8" x14ac:dyDescent="0.25">
      <c r="A8" s="22" t="s">
        <v>84</v>
      </c>
      <c r="B8" s="21">
        <f>SUM(B3:B7)</f>
        <v>62390</v>
      </c>
      <c r="C8" s="21">
        <f t="shared" ref="C8:D8" si="4">SUM(C3:C7)</f>
        <v>73320</v>
      </c>
      <c r="D8" s="21">
        <f t="shared" si="4"/>
        <v>88250</v>
      </c>
    </row>
    <row r="9" spans="1:8" x14ac:dyDescent="0.25">
      <c r="A9" s="22" t="s">
        <v>85</v>
      </c>
      <c r="B9" s="21">
        <f>MAX(B3:B7)</f>
        <v>14520</v>
      </c>
      <c r="C9" s="21">
        <f t="shared" ref="C9:D9" si="5">MAX(C3:C7)</f>
        <v>16450</v>
      </c>
      <c r="D9" s="21">
        <f t="shared" si="5"/>
        <v>19200</v>
      </c>
    </row>
    <row r="10" spans="1:8" x14ac:dyDescent="0.25">
      <c r="A10" s="22" t="s">
        <v>86</v>
      </c>
      <c r="B10" s="21">
        <f>MIN(B3:B7)</f>
        <v>10200</v>
      </c>
      <c r="C10" s="21">
        <f t="shared" ref="C10:D10" si="6">MIN(C3:C7)</f>
        <v>12400</v>
      </c>
      <c r="D10" s="21">
        <f t="shared" si="6"/>
        <v>15800</v>
      </c>
    </row>
    <row r="11" spans="1:8" x14ac:dyDescent="0.25">
      <c r="A11" s="22" t="s">
        <v>87</v>
      </c>
      <c r="B11" s="21">
        <f>AVERAGE(B3:B7)</f>
        <v>12478</v>
      </c>
      <c r="C11" s="21">
        <f t="shared" ref="C11:D11" si="7">AVERAGE(C3:C7)</f>
        <v>14664</v>
      </c>
      <c r="D11" s="21">
        <f t="shared" si="7"/>
        <v>17650</v>
      </c>
    </row>
  </sheetData>
  <mergeCells count="1">
    <mergeCell ref="A1:H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FCA84-D217-44B6-9336-DB4627CA9D97}">
  <dimension ref="A1:C11"/>
  <sheetViews>
    <sheetView tabSelected="1" workbookViewId="0">
      <selection activeCell="C3" sqref="C3:C11"/>
    </sheetView>
  </sheetViews>
  <sheetFormatPr defaultRowHeight="15" x14ac:dyDescent="0.25"/>
  <cols>
    <col min="1" max="3" width="18.28515625" customWidth="1"/>
  </cols>
  <sheetData>
    <row r="1" spans="1:3" x14ac:dyDescent="0.25">
      <c r="A1" s="36" t="s">
        <v>95</v>
      </c>
      <c r="B1" s="36"/>
      <c r="C1" s="36"/>
    </row>
    <row r="2" spans="1:3" ht="30" x14ac:dyDescent="0.25">
      <c r="A2" s="25" t="s">
        <v>96</v>
      </c>
      <c r="B2" s="25" t="s">
        <v>97</v>
      </c>
      <c r="C2" s="25" t="s">
        <v>98</v>
      </c>
    </row>
    <row r="3" spans="1:3" x14ac:dyDescent="0.25">
      <c r="A3" s="26">
        <v>1200</v>
      </c>
      <c r="B3" s="27">
        <v>0.05</v>
      </c>
      <c r="C3" s="26">
        <f>PRODUCT(A3*B3)</f>
        <v>60</v>
      </c>
    </row>
    <row r="4" spans="1:3" x14ac:dyDescent="0.25">
      <c r="A4" s="26">
        <v>750</v>
      </c>
      <c r="B4" s="27">
        <v>0.08</v>
      </c>
      <c r="C4" s="26">
        <f t="shared" ref="C4:C11" si="0">PRODUCT(A4*B4)</f>
        <v>60</v>
      </c>
    </row>
    <row r="5" spans="1:3" x14ac:dyDescent="0.25">
      <c r="A5" s="26">
        <v>600</v>
      </c>
      <c r="B5" s="27">
        <v>0.12</v>
      </c>
      <c r="C5" s="26">
        <f t="shared" si="0"/>
        <v>72</v>
      </c>
    </row>
    <row r="6" spans="1:3" x14ac:dyDescent="0.25">
      <c r="A6" s="26">
        <v>320</v>
      </c>
      <c r="B6" s="27">
        <v>0.3</v>
      </c>
      <c r="C6" s="26">
        <f t="shared" si="0"/>
        <v>96</v>
      </c>
    </row>
    <row r="7" spans="1:3" x14ac:dyDescent="0.25">
      <c r="A7" s="26">
        <v>100</v>
      </c>
      <c r="B7" s="27">
        <v>0.1</v>
      </c>
      <c r="C7" s="26">
        <f t="shared" si="0"/>
        <v>10</v>
      </c>
    </row>
    <row r="8" spans="1:3" x14ac:dyDescent="0.25">
      <c r="A8" s="26">
        <v>150</v>
      </c>
      <c r="B8" s="27">
        <v>0.04</v>
      </c>
      <c r="C8" s="26">
        <f t="shared" si="0"/>
        <v>6</v>
      </c>
    </row>
    <row r="9" spans="1:3" x14ac:dyDescent="0.25">
      <c r="A9" s="26">
        <v>230</v>
      </c>
      <c r="B9" s="27">
        <v>7.0000000000000007E-2</v>
      </c>
      <c r="C9" s="26">
        <f t="shared" si="0"/>
        <v>16.100000000000001</v>
      </c>
    </row>
    <row r="10" spans="1:3" x14ac:dyDescent="0.25">
      <c r="A10" s="26">
        <v>200</v>
      </c>
      <c r="B10" s="27">
        <v>0.11</v>
      </c>
      <c r="C10" s="26">
        <f t="shared" si="0"/>
        <v>22</v>
      </c>
    </row>
    <row r="11" spans="1:3" x14ac:dyDescent="0.25">
      <c r="A11" s="26">
        <v>420</v>
      </c>
      <c r="B11" s="27">
        <v>0.25</v>
      </c>
      <c r="C11" s="26">
        <f t="shared" si="0"/>
        <v>105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01-formatacao</vt:lpstr>
      <vt:lpstr>02-Listas</vt:lpstr>
      <vt:lpstr>03-Formatos Personalizados</vt:lpstr>
      <vt:lpstr>04-Classificacao e filtro</vt:lpstr>
      <vt:lpstr>05-Formulas e Funcoes</vt:lpstr>
      <vt:lpstr>06-Porcentagem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WILCK GOMES DE OLIVEIRA</dc:creator>
  <cp:lastModifiedBy>WILCK GOMES DE OLIVEIRA</cp:lastModifiedBy>
  <dcterms:created xsi:type="dcterms:W3CDTF">2026-02-11T21:53:46Z</dcterms:created>
  <dcterms:modified xsi:type="dcterms:W3CDTF">2026-02-12T22:33:44Z</dcterms:modified>
</cp:coreProperties>
</file>