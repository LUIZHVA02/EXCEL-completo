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EXCEL-completo\Basico\"/>
    </mc:Choice>
  </mc:AlternateContent>
  <xr:revisionPtr revIDLastSave="0" documentId="13_ncr:1_{CBB6E84A-66D0-4C9C-9CA3-125CAE6CCD58}" xr6:coauthVersionLast="36" xr6:coauthVersionMax="36" xr10:uidLastSave="{00000000-0000-0000-0000-000000000000}"/>
  <bookViews>
    <workbookView xWindow="0" yWindow="0" windowWidth="15360" windowHeight="7425" firstSheet="24" activeTab="30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  <sheet name="24-Cont.se e Somase 2" sheetId="25" r:id="rId24"/>
    <sheet name="25-Somase Mediase 1" sheetId="26" r:id="rId25"/>
    <sheet name="26-Funcao SE" sheetId="27" r:id="rId26"/>
    <sheet name="27-Funcao SE Aninhada" sheetId="28" r:id="rId27"/>
    <sheet name="28-SE com Texto" sheetId="30" r:id="rId28"/>
    <sheet name="30-Procv Exato 1" sheetId="31" r:id="rId29"/>
    <sheet name="31-Procv Exato 2" sheetId="32" r:id="rId30"/>
    <sheet name="32-Procv Aproximado 1" sheetId="33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3" l="1"/>
  <c r="F4" i="33" l="1"/>
  <c r="F5" i="33"/>
  <c r="F6" i="33"/>
  <c r="F7" i="33"/>
  <c r="F8" i="33"/>
  <c r="F9" i="33"/>
  <c r="F10" i="33"/>
  <c r="F11" i="33"/>
  <c r="F12" i="33"/>
  <c r="F13" i="33"/>
  <c r="F3" i="33"/>
  <c r="B17" i="32"/>
  <c r="E4" i="33"/>
  <c r="E5" i="33"/>
  <c r="E6" i="33"/>
  <c r="E7" i="33"/>
  <c r="E8" i="33"/>
  <c r="E9" i="33"/>
  <c r="E10" i="33"/>
  <c r="E11" i="33"/>
  <c r="E12" i="33"/>
  <c r="E13" i="33"/>
  <c r="B23" i="32" l="1"/>
  <c r="B22" i="32"/>
  <c r="B21" i="32"/>
  <c r="B20" i="32"/>
  <c r="B19" i="32"/>
  <c r="B18" i="32"/>
  <c r="D4" i="31" l="1"/>
  <c r="D5" i="31"/>
  <c r="D6" i="31"/>
  <c r="D7" i="31"/>
  <c r="D8" i="31"/>
  <c r="D9" i="31"/>
  <c r="D10" i="31"/>
  <c r="D11" i="31"/>
  <c r="D12" i="31"/>
  <c r="D3" i="31"/>
  <c r="C4" i="31"/>
  <c r="C5" i="31"/>
  <c r="C6" i="31"/>
  <c r="C7" i="31"/>
  <c r="C8" i="31"/>
  <c r="C9" i="31"/>
  <c r="C10" i="31"/>
  <c r="C11" i="31"/>
  <c r="C12" i="31"/>
  <c r="C3" i="31"/>
  <c r="C3" i="30" l="1"/>
  <c r="C6" i="30"/>
  <c r="C4" i="30"/>
  <c r="C5" i="30"/>
  <c r="C7" i="30"/>
  <c r="C8" i="30"/>
  <c r="C9" i="30"/>
  <c r="C10" i="30"/>
  <c r="C11" i="30"/>
  <c r="F11" i="21"/>
  <c r="G11" i="21" s="1"/>
  <c r="D17" i="20"/>
  <c r="D16" i="20"/>
  <c r="D9" i="20"/>
  <c r="F3" i="21"/>
  <c r="G3" i="21"/>
  <c r="I7" i="24"/>
  <c r="H7" i="24"/>
  <c r="E14" i="24"/>
  <c r="I3" i="25"/>
  <c r="G7" i="25"/>
  <c r="G3" i="25"/>
  <c r="D4" i="27" l="1"/>
  <c r="D5" i="27"/>
  <c r="D6" i="27"/>
  <c r="D7" i="27"/>
  <c r="D8" i="27"/>
  <c r="D9" i="27"/>
  <c r="D10" i="27"/>
  <c r="D3" i="27"/>
  <c r="C3" i="28" l="1"/>
  <c r="C4" i="28"/>
  <c r="C5" i="28"/>
  <c r="C6" i="28"/>
  <c r="C7" i="28"/>
  <c r="C8" i="28"/>
  <c r="C9" i="28"/>
  <c r="C4" i="27" l="1"/>
  <c r="C5" i="27"/>
  <c r="C6" i="27"/>
  <c r="C7" i="27"/>
  <c r="C8" i="27"/>
  <c r="C9" i="27"/>
  <c r="C10" i="27"/>
  <c r="C3" i="27"/>
  <c r="F18" i="18"/>
  <c r="F17" i="18"/>
  <c r="F16" i="18"/>
  <c r="F15" i="18"/>
  <c r="E13" i="26"/>
  <c r="E12" i="26"/>
  <c r="E14" i="26"/>
  <c r="E15" i="26"/>
  <c r="E16" i="26"/>
  <c r="E11" i="26"/>
  <c r="E8" i="26"/>
  <c r="E7" i="26"/>
  <c r="E6" i="26"/>
  <c r="E5" i="26"/>
  <c r="E4" i="26"/>
  <c r="E3" i="26"/>
  <c r="H7" i="25"/>
  <c r="H4" i="25"/>
  <c r="H5" i="25"/>
  <c r="H6" i="25"/>
  <c r="H3" i="25"/>
  <c r="I4" i="25"/>
  <c r="I5" i="25"/>
  <c r="I6" i="25"/>
  <c r="I7" i="25"/>
  <c r="I10" i="25"/>
  <c r="G4" i="25"/>
  <c r="G5" i="25"/>
  <c r="G6" i="25"/>
  <c r="I9" i="24" l="1"/>
  <c r="H3" i="24"/>
  <c r="H4" i="24"/>
  <c r="H5" i="24"/>
  <c r="H6" i="24"/>
  <c r="H8" i="24"/>
  <c r="K3" i="23"/>
  <c r="E20" i="24"/>
  <c r="E6" i="24"/>
  <c r="I3" i="24" s="1"/>
  <c r="E11" i="24"/>
  <c r="E12" i="24"/>
  <c r="I5" i="24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F4" i="21"/>
  <c r="F5" i="21"/>
  <c r="F6" i="21"/>
  <c r="F7" i="21"/>
  <c r="F8" i="21"/>
  <c r="F9" i="21"/>
  <c r="F10" i="21"/>
  <c r="D18" i="20" l="1"/>
  <c r="D15" i="20"/>
  <c r="D10" i="20"/>
  <c r="D11" i="20"/>
  <c r="D12" i="20"/>
  <c r="D13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<sst xmlns="http://schemas.openxmlformats.org/spreadsheetml/2006/main" count="647" uniqueCount="435">
  <si>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</si>
  <si>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</si>
  <si>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</si>
  <si>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</si>
  <si>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</si>
  <si>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</si>
  <si>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</si>
  <si>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</si>
  <si>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</si>
  <si>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</si>
  <si>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</si>
  <si>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</si>
  <si>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</si>
  <si>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</si>
  <si>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</si>
  <si>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</si>
  <si>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</si>
  <si>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</si>
  <si>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</si>
  <si>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</si>
  <si>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</si>
  <si>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</si>
  <si>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</si>
  <si>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</si>
  <si>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</si>
  <si>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</si>
  <si>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</si>
  <si>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</si>
  <si>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</si>
  <si>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</si>
  <si>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</si>
  <si>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</si>
  <si>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</si>
  <si>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</si>
  <si>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</si>
  <si>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</si>
  <si>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</si>
  <si>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</si>
  <si>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</si>
  <si>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</si>
  <si>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</si>
  <si>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</si>
  <si>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</si>
  <si>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</si>
  <si>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</si>
  <si>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</si>
  <si>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</si>
  <si>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</si>
  <si>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</si>
  <si>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</si>
  <si>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</si>
  <si>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</si>
  <si>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</si>
  <si>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</si>
  <si>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</si>
  <si>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</si>
  <si>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</si>
  <si>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</si>
  <si>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</si>
  <si>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</si>
  <si>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</si>
  <si>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</si>
  <si>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</si>
  <si>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</si>
  <si>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</si>
  <si>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</si>
  <si>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</si>
  <si>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</si>
  <si>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</si>
  <si>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</si>
  <si>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</si>
  <si>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</si>
  <si>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</si>
  <si>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</si>
  <si>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</si>
  <si>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</si>
  <si>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</si>
  <si>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</si>
  <si>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</si>
  <si>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</si>
  <si>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</si>
  <si>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</si>
  <si>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</si>
  <si>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</si>
  <si>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</si>
  <si>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</si>
  <si>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</si>
  <si>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</si>
  <si>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</si>
  <si>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</si>
  <si>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</si>
  <si>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</si>
  <si>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</si>
  <si>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</si>
  <si>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</si>
  <si>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</si>
  <si>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</si>
  <si>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</si>
  <si>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</si>
  <si>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</si>
  <si>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</si>
  <si>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</si>
  <si>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</si>
  <si>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</si>
  <si>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</si>
  <si>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</si>
  <si>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</si>
  <si>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</si>
  <si>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</si>
  <si>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</si>
  <si>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</si>
  <si>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</si>
  <si>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</si>
  <si>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</si>
  <si>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</si>
  <si>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</si>
  <si>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</si>
  <si>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</si>
  <si>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</si>
  <si>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</si>
  <si>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</si>
  <si>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</si>
  <si>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</si>
  <si>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</si>
  <si>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</si>
  <si>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</si>
  <si>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</si>
  <si>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</si>
  <si>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</si>
  <si>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</si>
  <si>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</si>
  <si>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</si>
  <si>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</si>
  <si>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</si>
  <si>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</si>
  <si>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</si>
  <si>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</si>
  <si>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</si>
  <si>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</si>
  <si>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</si>
  <si>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</si>
  <si>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</si>
  <si>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</si>
  <si>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</si>
  <si>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</si>
  <si>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</si>
  <si>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</si>
  <si>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</si>
  <si>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</si>
  <si>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</si>
  <si>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</si>
  <si>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</si>
  <si>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</si>
  <si>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</si>
  <si>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</si>
  <si>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</si>
  <si>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</si>
  <si>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</si>
  <si>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</si>
  <si>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</si>
  <si>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</si>
  <si>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</si>
  <si>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</si>
  <si>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</si>
  <si>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</si>
  <si>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</si>
  <si>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</si>
  <si>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</si>
  <si>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</si>
  <si>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</si>
  <si>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</si>
  <si>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</si>
  <si>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</si>
  <si>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</si>
  <si>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</si>
  <si>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</si>
  <si>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</si>
  <si>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</si>
  <si>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</si>
  <si>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</si>
  <si>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</si>
  <si>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</si>
  <si>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</si>
  <si>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</si>
  <si>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</si>
  <si>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</si>
  <si>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</si>
  <si>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</si>
  <si>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</si>
  <si>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</si>
  <si>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</si>
  <si>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</si>
  <si>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</si>
  <si>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</si>
  <si>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</si>
  <si>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</si>
  <si>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</si>
  <si>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</si>
  <si>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</si>
  <si>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</si>
  <si>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</si>
  <si>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</si>
  <si>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</si>
  <si>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</si>
  <si>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</si>
  <si>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</si>
  <si>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</si>
  <si>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</si>
  <si>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</si>
  <si>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</si>
  <si>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</si>
  <si>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</si>
  <si>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</si>
  <si>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</si>
  <si>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</si>
  <si>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</si>
  <si>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</si>
  <si>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</si>
  <si>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</si>
  <si>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</si>
  <si>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</si>
  <si>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</si>
  <si>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</si>
  <si>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</si>
  <si>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</si>
  <si>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</si>
  <si>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</si>
  <si>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</si>
  <si>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</si>
  <si>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</si>
  <si>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</si>
  <si>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</si>
  <si>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</si>
  <si>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</si>
  <si>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</si>
  <si>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</si>
  <si>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</si>
  <si>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</si>
  <si>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</si>
  <si>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</si>
  <si>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</si>
  <si>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</si>
  <si>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</si>
  <si>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</si>
  <si>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</si>
  <si>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</si>
  <si>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</si>
  <si>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</si>
  <si>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</si>
  <si>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</si>
  <si>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</si>
  <si>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</si>
  <si>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</si>
  <si>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</si>
  <si>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</si>
  <si>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</si>
  <si>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</si>
  <si>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</si>
  <si>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</si>
  <si>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</si>
  <si>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</si>
  <si>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</si>
  <si>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</si>
  <si>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</si>
  <si>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</si>
  <si>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</si>
  <si>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</si>
  <si>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</si>
  <si>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</si>
  <si>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</si>
  <si>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</si>
  <si>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</si>
  <si>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</si>
  <si>
    <t>CONTROLE DE COMISSÕES</t>
  </si>
  <si>
    <t>CONTROLE DAS COMISSÕES</t>
  </si>
  <si>
    <t>VENDEDOR</t>
  </si>
  <si>
    <t>NÚMERO DE VENDAS REALIZADAS</t>
  </si>
  <si>
    <t>VALOR DA COMISSÃO</t>
  </si>
  <si>
    <t>PRODUTOS</t>
  </si>
  <si>
    <t>Paulo</t>
  </si>
  <si>
    <t>Jorge</t>
  </si>
  <si>
    <t>Antônio</t>
  </si>
  <si>
    <t>Carlos</t>
  </si>
  <si>
    <t>Monitor LED 21,5"</t>
  </si>
  <si>
    <t>Notebook core I5</t>
  </si>
  <si>
    <t>Teclado Wireless</t>
  </si>
  <si>
    <t>Multifuncional</t>
  </si>
  <si>
    <t>Impressora Laser</t>
  </si>
  <si>
    <t>Samsung</t>
  </si>
  <si>
    <t>Dell</t>
  </si>
  <si>
    <t>Microsoft</t>
  </si>
  <si>
    <t>Canon</t>
  </si>
  <si>
    <t>HP</t>
  </si>
  <si>
    <t>%(PERCENTUAL) PAGO EM COMISSÃO</t>
  </si>
  <si>
    <t>TOTAL PAGO EM COMISSÕES</t>
  </si>
  <si>
    <t>VALOR TOTAL DAS VENDAS</t>
  </si>
  <si>
    <t>CÁLCULO DA SOMA DAS VENDAS</t>
  </si>
  <si>
    <t>Lenço</t>
  </si>
  <si>
    <t>Bolsa</t>
  </si>
  <si>
    <t>Óculos</t>
  </si>
  <si>
    <t>Relógio</t>
  </si>
  <si>
    <t>Chapéu</t>
  </si>
  <si>
    <t>CÁLCULO DA MÉDIA DAS VENDAS</t>
  </si>
  <si>
    <t>SOMA DOS VALORES E MÉDIA DOS VALORES POR PRODUTOS</t>
  </si>
  <si>
    <t>Malas de Viagem</t>
  </si>
  <si>
    <t>IMOBILIÁRIA LAR IMÓVEIS</t>
  </si>
  <si>
    <t>CORRETOR</t>
  </si>
  <si>
    <t>VALOR DA VENDA REALIZADA</t>
  </si>
  <si>
    <t>% DE COMISSÃO A RECEBER</t>
  </si>
  <si>
    <t>Daniel</t>
  </si>
  <si>
    <t>Fernando</t>
  </si>
  <si>
    <t>Cláudio</t>
  </si>
  <si>
    <t>Carmem</t>
  </si>
  <si>
    <t>Angela</t>
  </si>
  <si>
    <t>Luciano</t>
  </si>
  <si>
    <t>Fernanda</t>
  </si>
  <si>
    <t>BOLETIM DATURMA DE INFORMÁTICA BÁSICA</t>
  </si>
  <si>
    <t>ALUNO</t>
  </si>
  <si>
    <t>MÉDIA FINAL</t>
  </si>
  <si>
    <t>Simone</t>
  </si>
  <si>
    <t>Caroline</t>
  </si>
  <si>
    <t>André</t>
  </si>
  <si>
    <t>Vânia</t>
  </si>
  <si>
    <t>Renata</t>
  </si>
  <si>
    <t>Vinicius</t>
  </si>
  <si>
    <t>CONTROLE DE PROFISSIONAIS CERTIFICADOS</t>
  </si>
  <si>
    <t>FUNCIONÁRIO</t>
  </si>
  <si>
    <t>FORMAÇÃO</t>
  </si>
  <si>
    <t>SITUAÇÃO</t>
  </si>
  <si>
    <t>História</t>
  </si>
  <si>
    <t>Comunicação</t>
  </si>
  <si>
    <t>Geografia</t>
  </si>
  <si>
    <t>Filosofia</t>
  </si>
  <si>
    <t>Jornalismo</t>
  </si>
  <si>
    <t>Cauã</t>
  </si>
  <si>
    <t>Kelli</t>
  </si>
  <si>
    <t>Rafael</t>
  </si>
  <si>
    <t>Manuela</t>
  </si>
  <si>
    <t>Cíntia</t>
  </si>
  <si>
    <t>Eduardo</t>
  </si>
  <si>
    <t>Rodrigo</t>
  </si>
  <si>
    <t>Tecnologia da Informação</t>
  </si>
  <si>
    <t>BUSCA POR CARGO E SALÁRIO DE FUNCIONÁRIOS</t>
  </si>
  <si>
    <t>CÓDIGO DO FUNCIONÁRIO</t>
  </si>
  <si>
    <t>NOME DO FUNCIONÁRIO</t>
  </si>
  <si>
    <t>CARGO DO FUNCIONÁRIO</t>
  </si>
  <si>
    <t>SALÁRIO DO FUNCIONÁRIO</t>
  </si>
  <si>
    <t>TABELA DE CONSULTA</t>
  </si>
  <si>
    <t>Anderson Silva</t>
  </si>
  <si>
    <t>Caique Fernandes</t>
  </si>
  <si>
    <t>Gabriel Ribeiro</t>
  </si>
  <si>
    <t>Helen Guimarães</t>
  </si>
  <si>
    <t>João de Lima</t>
  </si>
  <si>
    <t>Manoel dos Santos</t>
  </si>
  <si>
    <t>Marina Rosa</t>
  </si>
  <si>
    <t>Michele Sousa</t>
  </si>
  <si>
    <t>Rangel Russo</t>
  </si>
  <si>
    <t>Suelen Alponte</t>
  </si>
  <si>
    <t>Recepção</t>
  </si>
  <si>
    <t>Gerente</t>
  </si>
  <si>
    <t>Programador</t>
  </si>
  <si>
    <t>DATA DE NASCIMENTO</t>
  </si>
  <si>
    <t>SEXO</t>
  </si>
  <si>
    <t>ENDEREÇO</t>
  </si>
  <si>
    <t>BAIRRO</t>
  </si>
  <si>
    <t>CIDADE</t>
  </si>
  <si>
    <t>ESTADO</t>
  </si>
  <si>
    <t>F</t>
  </si>
  <si>
    <t>M</t>
  </si>
  <si>
    <t>SP</t>
  </si>
  <si>
    <t>Jandira</t>
  </si>
  <si>
    <t>Itapevi</t>
  </si>
  <si>
    <t>Osasco</t>
  </si>
  <si>
    <t>Carapícuiba</t>
  </si>
  <si>
    <t>Barueri</t>
  </si>
  <si>
    <t>Santana</t>
  </si>
  <si>
    <t>R. Antônio Castro, 12</t>
  </si>
  <si>
    <t>Rodovia Anhanguera, Km 21</t>
  </si>
  <si>
    <t>R. Tiradentes, 215</t>
  </si>
  <si>
    <t>Av. João Bosco, 415</t>
  </si>
  <si>
    <t>Av. Limeira, 36</t>
  </si>
  <si>
    <t>Alameda Silva, 89</t>
  </si>
  <si>
    <t>R. Sergipe, 1029</t>
  </si>
  <si>
    <t>R. Minas Quaresma, 58</t>
  </si>
  <si>
    <t>Av. Alcantara Silva, 445</t>
  </si>
  <si>
    <t>Rodovia Antonio Alves, Km 100</t>
  </si>
  <si>
    <t>R. Laranjeira, 150</t>
  </si>
  <si>
    <t>São Joaquim</t>
  </si>
  <si>
    <t>Centro</t>
  </si>
  <si>
    <t>Araras</t>
  </si>
  <si>
    <t>Leme</t>
  </si>
  <si>
    <t>Vila Carmen</t>
  </si>
  <si>
    <t>Fernão Dias</t>
  </si>
  <si>
    <t>Belverde</t>
  </si>
  <si>
    <t>Albosco</t>
  </si>
  <si>
    <t>Vila Germy</t>
  </si>
  <si>
    <t>São João</t>
  </si>
  <si>
    <t>Ana Paula Ragel</t>
  </si>
  <si>
    <t>Beatriz Alcântara</t>
  </si>
  <si>
    <t>Benício Gonçalves</t>
  </si>
  <si>
    <t>Cláudio Dias Venâncio</t>
  </si>
  <si>
    <t>Emerson Lourenço</t>
  </si>
  <si>
    <t>Marcos Navarro Silas</t>
  </si>
  <si>
    <t>Michele Bento Cruz</t>
  </si>
  <si>
    <t>Ricardo Sampaio</t>
  </si>
  <si>
    <t>Rosa Maria Chaves</t>
  </si>
  <si>
    <t>Ruth Celso Braga</t>
  </si>
  <si>
    <t>Thalita Verniz Teles</t>
  </si>
  <si>
    <t>Pesquisa</t>
  </si>
  <si>
    <t>Nome</t>
  </si>
  <si>
    <t>Data de Nascimento</t>
  </si>
  <si>
    <t>Sexo</t>
  </si>
  <si>
    <t>Bairro</t>
  </si>
  <si>
    <t>Estado</t>
  </si>
  <si>
    <t>Cadastro de Clientes</t>
  </si>
  <si>
    <t>REFERÊNCIA DE VALORES</t>
  </si>
  <si>
    <t>DE</t>
  </si>
  <si>
    <t>ATÉ</t>
  </si>
  <si>
    <t>CÁLCULO DE IMC</t>
  </si>
  <si>
    <t>IDADE</t>
  </si>
  <si>
    <t>PESO</t>
  </si>
  <si>
    <t>ALTURA</t>
  </si>
  <si>
    <t>IMC</t>
  </si>
  <si>
    <t>Andréia</t>
  </si>
  <si>
    <t>Jefferson</t>
  </si>
  <si>
    <t>Joel</t>
  </si>
  <si>
    <t>Keila</t>
  </si>
  <si>
    <t>Lineide</t>
  </si>
  <si>
    <t>Rodolfo</t>
  </si>
  <si>
    <t>Tamires</t>
  </si>
  <si>
    <t>Abaixo do Peso</t>
  </si>
  <si>
    <t>Normal</t>
  </si>
  <si>
    <t>Sobrepeso</t>
  </si>
  <si>
    <t>Obeso</t>
  </si>
  <si>
    <t>Obeso Grave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</si>
</sst>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  <numFmt numFmtId="172" formatCode="0.0%"/>
    <numFmt numFmtId="173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44" fontId="0" fillId="5" borderId="2" xfId="2" applyFont="1" applyFill="1" applyBorder="1" applyAlignment="1">
      <alignment horizontal="center" vertical="center"/>
    </xf>
    <xf numFmtId="44" fontId="0" fillId="0" borderId="2" xfId="2" applyNumberFormat="1" applyFont="1" applyBorder="1"/>
    <xf numFmtId="172" fontId="0" fillId="0" borderId="2" xfId="3" applyNumberFormat="1" applyFont="1" applyBorder="1"/>
    <xf numFmtId="0" fontId="0" fillId="4" borderId="2" xfId="0" applyFill="1" applyBorder="1" applyAlignment="1">
      <alignment horizontal="center" vertical="center" wrapText="1"/>
    </xf>
    <xf numFmtId="173" fontId="0" fillId="0" borderId="2" xfId="0" applyNumberFormat="1" applyBorder="1" applyAlignment="1">
      <alignment horizontal="center" vertical="center"/>
    </xf>
    <xf numFmtId="44" fontId="0" fillId="0" borderId="7" xfId="2" applyFont="1" applyFill="1" applyBorder="1" applyAlignment="1">
      <alignment vertical="center"/>
    </xf>
    <xf numFmtId="44" fontId="0" fillId="0" borderId="7" xfId="2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9" fontId="0" fillId="0" borderId="2" xfId="0" applyNumberFormat="1" applyBorder="1" applyAlignment="1">
      <alignment horizontal="center" vertical="center" wrapText="1"/>
    </xf>
    <xf numFmtId="0" fontId="2" fillId="5" borderId="2" xfId="0" applyFont="1" applyFill="1" applyBorder="1"/>
    <xf numFmtId="0" fontId="2" fillId="5" borderId="8" xfId="0" applyFont="1" applyFill="1" applyBorder="1" applyAlignment="1">
      <alignment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/>
    </xf>
    <xf numFmtId="14" fontId="0" fillId="5" borderId="8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9" fontId="0" fillId="5" borderId="8" xfId="0" applyNumberFormat="1" applyFill="1" applyBorder="1" applyAlignment="1">
      <alignment horizontal="center" vertical="center"/>
    </xf>
    <xf numFmtId="0" fontId="0" fillId="5" borderId="8" xfId="0" applyFill="1" applyBorder="1"/>
    <xf numFmtId="0" fontId="2" fillId="5" borderId="8" xfId="0" applyFont="1" applyFill="1" applyBorder="1" applyAlignment="1"/>
    <xf numFmtId="0" fontId="2" fillId="5" borderId="8" xfId="0" applyFont="1" applyFill="1" applyBorder="1"/>
    <xf numFmtId="0" fontId="0" fillId="0" borderId="8" xfId="0" applyBorder="1"/>
    <xf numFmtId="14" fontId="0" fillId="5" borderId="8" xfId="0" applyNumberFormat="1" applyFill="1" applyBorder="1" applyAlignment="1"/>
    <xf numFmtId="169" fontId="0" fillId="5" borderId="8" xfId="0" applyNumberFormat="1" applyFill="1" applyBorder="1" applyAlignment="1"/>
    <xf numFmtId="0" fontId="0" fillId="5" borderId="8" xfId="0" applyFill="1" applyBorder="1" applyAlignment="1"/>
    <xf numFmtId="0" fontId="0" fillId="4" borderId="2" xfId="0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/>
    </xf>
    <xf numFmtId="169" fontId="0" fillId="5" borderId="2" xfId="0" applyNumberForma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5"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vertical/>
        <horizontal/>
      </border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B9" sqref="B9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93" t="s">
        <v>0</v>
      </c>
      <c r="B1" s="93"/>
      <c r="C1" s="93"/>
      <c r="D1" s="93"/>
    </row>
    <row r="2" spans="1:4" x14ac:dyDescent="0.25">
      <c r="A2" s="94" t="s">
        <v>1</v>
      </c>
      <c r="B2" s="95" t="s">
        <v>2</v>
      </c>
      <c r="C2" s="2">
        <v>23</v>
      </c>
      <c r="D2" s="1">
        <f>C2</f>
        <v>23</v>
      </c>
    </row>
    <row r="3" spans="1:4" x14ac:dyDescent="0.25">
      <c r="A3" s="94"/>
      <c r="B3" s="95"/>
      <c r="C3" s="3">
        <v>0.1</v>
      </c>
      <c r="D3" s="10">
        <f t="shared" ref="D3:D6" si="0">C3</f>
        <v>0.1</v>
      </c>
    </row>
    <row r="4" spans="1:4" x14ac:dyDescent="0.25">
      <c r="A4" s="94"/>
      <c r="B4" s="95"/>
      <c r="C4">
        <v>2.58</v>
      </c>
      <c r="D4" s="9">
        <f t="shared" si="0"/>
        <v>2.58</v>
      </c>
    </row>
    <row r="5" spans="1:4" x14ac:dyDescent="0.25">
      <c r="A5" s="94"/>
      <c r="B5" s="95"/>
      <c r="C5" s="4">
        <v>1000</v>
      </c>
      <c r="D5" s="11">
        <f t="shared" si="0"/>
        <v>1000</v>
      </c>
    </row>
    <row r="6" spans="1:4" x14ac:dyDescent="0.25">
      <c r="A6" s="94"/>
      <c r="B6" s="95"/>
      <c r="C6" s="5">
        <v>42567</v>
      </c>
      <c r="D6" s="8">
        <f t="shared" si="0"/>
        <v>42567</v>
      </c>
    </row>
    <row r="7" spans="1:4" ht="30" x14ac:dyDescent="0.25">
      <c r="A7" s="94"/>
      <c r="B7" s="95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B9" sqref="B9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96" t="s">
        <v>41</v>
      </c>
      <c r="B1" s="96"/>
      <c r="C1" s="96"/>
      <c r="D1" s="96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9" sqref="B9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97" t="s">
        <v>46</v>
      </c>
      <c r="B1" s="97"/>
      <c r="C1" s="97"/>
      <c r="D1" s="97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9" sqref="B9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98" t="s">
        <v>78</v>
      </c>
      <c r="B1" s="98"/>
      <c r="C1" s="98"/>
      <c r="D1" s="98"/>
      <c r="E1" s="98"/>
      <c r="F1" s="98"/>
      <c r="G1" s="98"/>
      <c r="H1" s="98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99" t="s">
        <v>95</v>
      </c>
      <c r="B1" s="99"/>
      <c r="C1" s="99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99" t="s">
        <v>99</v>
      </c>
      <c r="B1" s="99"/>
      <c r="C1" s="99"/>
      <c r="D1" s="99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100" t="s">
        <v>99</v>
      </c>
      <c r="B1" s="101"/>
      <c r="C1" s="102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99" t="s">
        <v>104</v>
      </c>
      <c r="B1" s="99"/>
      <c r="C1" s="99"/>
      <c r="D1" s="99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00" t="s">
        <v>104</v>
      </c>
      <c r="B1" s="101"/>
      <c r="C1" s="102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99" t="s">
        <v>112</v>
      </c>
      <c r="B1" s="99"/>
      <c r="C1" s="99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99" t="s">
        <v>112</v>
      </c>
      <c r="B1" s="99"/>
      <c r="C1" s="99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B9" sqref="B9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103" t="s">
        <v>113</v>
      </c>
      <c r="B1" s="103"/>
      <c r="C1" s="103"/>
      <c r="D1" s="103"/>
      <c r="E1" s="103"/>
      <c r="F1" s="103"/>
      <c r="G1" s="103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103" t="s">
        <v>120</v>
      </c>
      <c r="B1" s="104"/>
      <c r="C1" s="104"/>
      <c r="D1" s="104"/>
      <c r="E1" s="104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105" t="s">
        <v>146</v>
      </c>
      <c r="D13" s="106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B9" sqref="B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105" t="s">
        <v>148</v>
      </c>
      <c r="B1" s="107"/>
      <c r="C1" s="106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B9" sqref="B9"/>
    </sheetView>
  </sheetViews>
  <sheetFormatPr defaultColWidth="18.28515625" defaultRowHeight="15" x14ac:dyDescent="0.25"/>
  <sheetData>
    <row r="1" spans="1:4" x14ac:dyDescent="0.25">
      <c r="A1" s="108" t="s">
        <v>159</v>
      </c>
      <c r="B1" s="109"/>
      <c r="C1" s="109"/>
      <c r="D1" s="110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workbookViewId="0">
      <selection activeCell="B9" sqref="B9"/>
    </sheetView>
  </sheetViews>
  <sheetFormatPr defaultColWidth="18.28515625" defaultRowHeight="15" x14ac:dyDescent="0.25"/>
  <sheetData>
    <row r="1" spans="1:6" x14ac:dyDescent="0.25">
      <c r="A1" s="108" t="s">
        <v>171</v>
      </c>
      <c r="B1" s="109"/>
      <c r="C1" s="109"/>
      <c r="D1" s="109"/>
      <c r="E1" s="109"/>
      <c r="F1" s="110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104" t="s">
        <v>177</v>
      </c>
      <c r="E15" s="104"/>
      <c r="F15" s="26">
        <f>SUM(F3:F14)</f>
        <v>8669.24</v>
      </c>
    </row>
    <row r="16" spans="1:6" x14ac:dyDescent="0.25">
      <c r="D16" s="104" t="s">
        <v>178</v>
      </c>
      <c r="E16" s="104"/>
      <c r="F16" s="26">
        <f>AVERAGE(F3:F14)</f>
        <v>722.43666666666661</v>
      </c>
    </row>
    <row r="17" spans="4:6" x14ac:dyDescent="0.25">
      <c r="D17" s="104" t="s">
        <v>179</v>
      </c>
      <c r="E17" s="104"/>
      <c r="F17" s="26">
        <f>MAX(F3:F14)</f>
        <v>1670.3999999999999</v>
      </c>
    </row>
    <row r="18" spans="4:6" x14ac:dyDescent="0.25">
      <c r="D18" s="104" t="s">
        <v>180</v>
      </c>
      <c r="E18" s="104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B9" sqref="B9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111" t="s">
        <v>198</v>
      </c>
      <c r="B1" s="111"/>
      <c r="C1" s="111"/>
      <c r="D1" s="111"/>
      <c r="E1" s="111"/>
      <c r="F1" s="111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D17" sqref="D17"/>
    </sheetView>
  </sheetViews>
  <sheetFormatPr defaultColWidth="18.28515625" defaultRowHeight="15" x14ac:dyDescent="0.25"/>
  <sheetData>
    <row r="1" spans="1:4" x14ac:dyDescent="0.25">
      <c r="A1" s="111" t="s">
        <v>206</v>
      </c>
      <c r="B1" s="111"/>
      <c r="C1" s="111"/>
      <c r="D1" s="111"/>
    </row>
    <row r="2" spans="1:4" x14ac:dyDescent="0.25">
      <c r="A2" s="51" t="s">
        <v>208</v>
      </c>
      <c r="B2" s="112" t="s">
        <v>210</v>
      </c>
      <c r="C2" s="113"/>
      <c r="D2" s="114"/>
    </row>
    <row r="3" spans="1:4" x14ac:dyDescent="0.25">
      <c r="A3" s="51" t="s">
        <v>43</v>
      </c>
      <c r="B3" s="115">
        <v>5144230</v>
      </c>
      <c r="C3" s="116"/>
      <c r="D3" s="117"/>
    </row>
    <row r="4" spans="1:4" x14ac:dyDescent="0.25">
      <c r="A4" s="51" t="s">
        <v>207</v>
      </c>
      <c r="B4" s="112" t="s">
        <v>211</v>
      </c>
      <c r="C4" s="113"/>
      <c r="D4" s="114"/>
    </row>
    <row r="5" spans="1:4" x14ac:dyDescent="0.25">
      <c r="A5" s="51" t="s">
        <v>154</v>
      </c>
      <c r="B5" s="118">
        <v>33337878</v>
      </c>
      <c r="C5" s="119"/>
      <c r="D5" s="120"/>
    </row>
    <row r="7" spans="1:4" x14ac:dyDescent="0.25">
      <c r="A7" s="111" t="s">
        <v>205</v>
      </c>
      <c r="B7" s="111"/>
      <c r="C7" s="111"/>
      <c r="D7" s="111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105" t="s">
        <v>209</v>
      </c>
      <c r="C15" s="106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105" t="s">
        <v>200</v>
      </c>
      <c r="C18" s="106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1"/>
  <sheetViews>
    <sheetView workbookViewId="0">
      <selection activeCell="G11" sqref="G11"/>
    </sheetView>
  </sheetViews>
  <sheetFormatPr defaultColWidth="18.28515625" defaultRowHeight="15" x14ac:dyDescent="0.25"/>
  <sheetData>
    <row r="1" spans="1:7" ht="15.75" x14ac:dyDescent="0.25">
      <c r="A1" s="121" t="s">
        <v>217</v>
      </c>
      <c r="B1" s="122"/>
      <c r="C1" s="122"/>
      <c r="D1" s="122"/>
      <c r="E1" s="122"/>
      <c r="F1" s="122"/>
      <c r="G1" s="122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1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  <row r="11" spans="1:7" x14ac:dyDescent="0.25">
      <c r="C11" s="69">
        <v>200</v>
      </c>
      <c r="D11" s="46">
        <v>0.17</v>
      </c>
      <c r="E11" s="42">
        <v>7</v>
      </c>
      <c r="F11" s="41">
        <f t="shared" ref="F11" si="2">C11*D11*E11</f>
        <v>238</v>
      </c>
      <c r="G11" s="70">
        <f t="shared" si="1"/>
        <v>438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B9" sqref="B9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103" t="s">
        <v>234</v>
      </c>
      <c r="B1" s="104"/>
      <c r="D1" s="108" t="s">
        <v>237</v>
      </c>
      <c r="E1" s="110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N3" sqref="N3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103" t="s">
        <v>242</v>
      </c>
      <c r="B1" s="103"/>
      <c r="C1" s="103"/>
      <c r="D1" s="103"/>
      <c r="E1" s="103"/>
      <c r="G1" s="103" t="s">
        <v>237</v>
      </c>
      <c r="H1" s="104"/>
      <c r="I1" s="104"/>
      <c r="J1" s="104"/>
      <c r="K1" s="104"/>
      <c r="L1" s="104"/>
      <c r="M1" s="104"/>
      <c r="N1" s="104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123" t="s">
        <v>246</v>
      </c>
      <c r="H2" s="123"/>
      <c r="I2" s="7"/>
      <c r="J2" s="104" t="s">
        <v>247</v>
      </c>
      <c r="K2" s="104"/>
      <c r="L2" s="7"/>
      <c r="M2" s="104" t="s">
        <v>248</v>
      </c>
      <c r="N2" s="104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workbookViewId="0">
      <selection activeCell="H4" sqref="H4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124" t="s">
        <v>257</v>
      </c>
      <c r="B1" s="125"/>
      <c r="C1" s="125"/>
      <c r="D1" s="125"/>
      <c r="E1" s="126"/>
      <c r="G1" s="111" t="s">
        <v>263</v>
      </c>
      <c r="H1" s="111"/>
      <c r="I1" s="111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>SUMIF($A$3:$A$22,$G7,D$3:D$22)</f>
        <v>8801</v>
      </c>
      <c r="I7" s="41">
        <f>SUMIF($A$3:$A$22,$G7,E$3:E$22)</f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>C14*D14</f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0C-AAC4-40B3-8FCB-E8AB4E85B2DF}">
  <dimension ref="A1:I17"/>
  <sheetViews>
    <sheetView workbookViewId="0">
      <selection activeCell="C3" sqref="C3"/>
    </sheetView>
  </sheetViews>
  <sheetFormatPr defaultColWidth="18.28515625" defaultRowHeight="15" x14ac:dyDescent="0.25"/>
  <cols>
    <col min="8" max="8" width="22.85546875" customWidth="1"/>
  </cols>
  <sheetData>
    <row r="1" spans="1:9" x14ac:dyDescent="0.25">
      <c r="A1" s="103" t="s">
        <v>273</v>
      </c>
      <c r="B1" s="103"/>
      <c r="C1" s="103"/>
      <c r="D1" s="103"/>
      <c r="F1" s="103" t="s">
        <v>274</v>
      </c>
      <c r="G1" s="103"/>
      <c r="H1" s="103"/>
      <c r="I1" s="103"/>
    </row>
    <row r="2" spans="1:9" ht="36" customHeight="1" x14ac:dyDescent="0.25">
      <c r="A2" s="38" t="s">
        <v>275</v>
      </c>
      <c r="B2" s="38" t="s">
        <v>278</v>
      </c>
      <c r="C2" s="38" t="s">
        <v>258</v>
      </c>
      <c r="D2" s="38" t="s">
        <v>100</v>
      </c>
      <c r="F2" s="38" t="s">
        <v>275</v>
      </c>
      <c r="G2" s="38" t="s">
        <v>295</v>
      </c>
      <c r="H2" s="38" t="s">
        <v>276</v>
      </c>
      <c r="I2" s="38" t="s">
        <v>277</v>
      </c>
    </row>
    <row r="3" spans="1:9" x14ac:dyDescent="0.25">
      <c r="A3" s="45" t="s">
        <v>279</v>
      </c>
      <c r="B3" s="45" t="s">
        <v>283</v>
      </c>
      <c r="C3" s="45" t="s">
        <v>288</v>
      </c>
      <c r="D3" s="41">
        <v>444.69</v>
      </c>
      <c r="F3" s="40" t="s">
        <v>249</v>
      </c>
      <c r="G3" s="41">
        <f>SUMIF($A$3:$A$17,$F3,$D$3:$D$17)</f>
        <v>2004.02</v>
      </c>
      <c r="H3" s="62">
        <f>COUNTIF($A$3:$A$17,$F3)</f>
        <v>2</v>
      </c>
      <c r="I3" s="41">
        <f>I$9*G3</f>
        <v>200.40200000000002</v>
      </c>
    </row>
    <row r="4" spans="1:9" x14ac:dyDescent="0.25">
      <c r="A4" s="45" t="s">
        <v>281</v>
      </c>
      <c r="B4" s="45" t="s">
        <v>284</v>
      </c>
      <c r="C4" s="45" t="s">
        <v>289</v>
      </c>
      <c r="D4" s="41">
        <v>1671.12</v>
      </c>
      <c r="F4" s="40" t="s">
        <v>281</v>
      </c>
      <c r="G4" s="41">
        <f t="shared" ref="G4:G6" si="0">SUMIF($A$3:$A$17,$F4,$D$3:$D$17)</f>
        <v>3491.24</v>
      </c>
      <c r="H4" s="62">
        <f t="shared" ref="H4:H6" si="1">COUNTIF($A$3:$A$17,$F4)</f>
        <v>3</v>
      </c>
      <c r="I4" s="41">
        <f t="shared" ref="I4:I7" si="2">I$9*G4</f>
        <v>349.12400000000002</v>
      </c>
    </row>
    <row r="5" spans="1:9" x14ac:dyDescent="0.25">
      <c r="A5" s="45" t="s">
        <v>280</v>
      </c>
      <c r="B5" s="45" t="s">
        <v>285</v>
      </c>
      <c r="C5" s="45" t="s">
        <v>290</v>
      </c>
      <c r="D5" s="41">
        <v>149</v>
      </c>
      <c r="F5" s="40" t="s">
        <v>282</v>
      </c>
      <c r="G5" s="41">
        <f t="shared" si="0"/>
        <v>491.8</v>
      </c>
      <c r="H5" s="62">
        <f t="shared" si="1"/>
        <v>2</v>
      </c>
      <c r="I5" s="41">
        <f t="shared" si="2"/>
        <v>49.180000000000007</v>
      </c>
    </row>
    <row r="6" spans="1:9" x14ac:dyDescent="0.25">
      <c r="A6" s="45" t="s">
        <v>280</v>
      </c>
      <c r="B6" s="45" t="s">
        <v>285</v>
      </c>
      <c r="C6" s="45" t="s">
        <v>290</v>
      </c>
      <c r="D6" s="41">
        <v>149</v>
      </c>
      <c r="F6" s="40" t="s">
        <v>280</v>
      </c>
      <c r="G6" s="41">
        <f t="shared" si="0"/>
        <v>1075.5900000000001</v>
      </c>
      <c r="H6" s="62">
        <f t="shared" si="1"/>
        <v>4</v>
      </c>
      <c r="I6" s="41">
        <f t="shared" si="2"/>
        <v>107.55900000000003</v>
      </c>
    </row>
    <row r="7" spans="1:9" x14ac:dyDescent="0.25">
      <c r="A7" s="45" t="s">
        <v>281</v>
      </c>
      <c r="B7" s="45" t="s">
        <v>284</v>
      </c>
      <c r="C7" s="45" t="s">
        <v>289</v>
      </c>
      <c r="D7" s="41">
        <v>1671.12</v>
      </c>
      <c r="F7" s="40" t="s">
        <v>279</v>
      </c>
      <c r="G7" s="41">
        <f>SUMIF($A$3:$A$17,$F7,$D$3:$D$17)</f>
        <v>1483.07</v>
      </c>
      <c r="H7" s="62">
        <f>COUNTIF($A$3:$A$17,$F7)</f>
        <v>4</v>
      </c>
      <c r="I7" s="41">
        <f t="shared" si="2"/>
        <v>148.30699999999999</v>
      </c>
    </row>
    <row r="8" spans="1:9" x14ac:dyDescent="0.25">
      <c r="A8" s="45" t="s">
        <v>279</v>
      </c>
      <c r="B8" s="45" t="s">
        <v>283</v>
      </c>
      <c r="C8" s="45" t="s">
        <v>288</v>
      </c>
      <c r="D8" s="41">
        <v>444.69</v>
      </c>
    </row>
    <row r="9" spans="1:9" x14ac:dyDescent="0.25">
      <c r="A9" s="45" t="s">
        <v>279</v>
      </c>
      <c r="B9" s="45" t="s">
        <v>283</v>
      </c>
      <c r="C9" s="45" t="s">
        <v>288</v>
      </c>
      <c r="D9" s="41">
        <v>444.69</v>
      </c>
      <c r="F9" s="104" t="s">
        <v>293</v>
      </c>
      <c r="G9" s="104"/>
      <c r="H9" s="104"/>
      <c r="I9" s="53">
        <v>0.1</v>
      </c>
    </row>
    <row r="10" spans="1:9" x14ac:dyDescent="0.25">
      <c r="A10" s="45" t="s">
        <v>282</v>
      </c>
      <c r="B10" s="45" t="s">
        <v>286</v>
      </c>
      <c r="C10" s="45" t="s">
        <v>291</v>
      </c>
      <c r="D10" s="41">
        <v>245.9</v>
      </c>
      <c r="F10" s="104" t="s">
        <v>294</v>
      </c>
      <c r="G10" s="104"/>
      <c r="H10" s="104"/>
      <c r="I10" s="43">
        <f>SUM(I3:I7)</f>
        <v>854.57200000000012</v>
      </c>
    </row>
    <row r="11" spans="1:9" x14ac:dyDescent="0.25">
      <c r="A11" s="45" t="s">
        <v>282</v>
      </c>
      <c r="B11" s="45" t="s">
        <v>286</v>
      </c>
      <c r="C11" s="45" t="s">
        <v>291</v>
      </c>
      <c r="D11" s="41">
        <v>245.9</v>
      </c>
    </row>
    <row r="12" spans="1:9" x14ac:dyDescent="0.25">
      <c r="A12" s="45" t="s">
        <v>280</v>
      </c>
      <c r="B12" s="45" t="s">
        <v>283</v>
      </c>
      <c r="C12" s="45" t="s">
        <v>288</v>
      </c>
      <c r="D12" s="41">
        <v>444.69</v>
      </c>
    </row>
    <row r="13" spans="1:9" x14ac:dyDescent="0.25">
      <c r="A13" s="45" t="s">
        <v>281</v>
      </c>
      <c r="B13" s="45" t="s">
        <v>285</v>
      </c>
      <c r="C13" s="45" t="s">
        <v>290</v>
      </c>
      <c r="D13" s="41">
        <v>149</v>
      </c>
    </row>
    <row r="14" spans="1:9" x14ac:dyDescent="0.25">
      <c r="A14" s="45" t="s">
        <v>249</v>
      </c>
      <c r="B14" s="45" t="s">
        <v>284</v>
      </c>
      <c r="C14" s="45" t="s">
        <v>289</v>
      </c>
      <c r="D14" s="41">
        <v>1671.12</v>
      </c>
    </row>
    <row r="15" spans="1:9" x14ac:dyDescent="0.25">
      <c r="A15" s="45" t="s">
        <v>249</v>
      </c>
      <c r="B15" s="45" t="s">
        <v>287</v>
      </c>
      <c r="C15" s="45" t="s">
        <v>292</v>
      </c>
      <c r="D15" s="41">
        <v>332.9</v>
      </c>
    </row>
    <row r="16" spans="1:9" x14ac:dyDescent="0.25">
      <c r="A16" s="45" t="s">
        <v>280</v>
      </c>
      <c r="B16" s="45" t="s">
        <v>287</v>
      </c>
      <c r="C16" s="45" t="s">
        <v>292</v>
      </c>
      <c r="D16" s="41">
        <v>332.9</v>
      </c>
    </row>
    <row r="17" spans="1:4" x14ac:dyDescent="0.25">
      <c r="A17" s="45" t="s">
        <v>279</v>
      </c>
      <c r="B17" s="45" t="s">
        <v>285</v>
      </c>
      <c r="C17" s="45" t="s">
        <v>290</v>
      </c>
      <c r="D17" s="41">
        <v>149</v>
      </c>
    </row>
  </sheetData>
  <mergeCells count="4">
    <mergeCell ref="F1:I1"/>
    <mergeCell ref="F9:H9"/>
    <mergeCell ref="F10:H10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D572-72BE-44B4-A2A3-720179FE701C}">
  <dimension ref="A1:E24"/>
  <sheetViews>
    <sheetView workbookViewId="0">
      <selection activeCell="E11" sqref="E11"/>
    </sheetView>
  </sheetViews>
  <sheetFormatPr defaultColWidth="18.28515625" defaultRowHeight="15" x14ac:dyDescent="0.25"/>
  <cols>
    <col min="3" max="3" width="3.42578125" customWidth="1"/>
  </cols>
  <sheetData>
    <row r="1" spans="1:5" x14ac:dyDescent="0.25">
      <c r="A1" s="103" t="s">
        <v>303</v>
      </c>
      <c r="B1" s="103"/>
      <c r="C1" s="103"/>
      <c r="D1" s="103"/>
      <c r="E1" s="103"/>
    </row>
    <row r="2" spans="1:5" x14ac:dyDescent="0.25">
      <c r="A2" s="60" t="s">
        <v>278</v>
      </c>
      <c r="B2" s="60" t="s">
        <v>100</v>
      </c>
      <c r="C2" s="7"/>
      <c r="D2" s="105" t="s">
        <v>296</v>
      </c>
      <c r="E2" s="106"/>
    </row>
    <row r="3" spans="1:5" x14ac:dyDescent="0.25">
      <c r="A3" s="45" t="s">
        <v>297</v>
      </c>
      <c r="B3" s="41">
        <v>26623</v>
      </c>
      <c r="C3" s="7"/>
      <c r="D3" s="63" t="s">
        <v>297</v>
      </c>
      <c r="E3" s="64">
        <f>SUMIF($A$3:$A$24,D3,$B$3:$B$24)</f>
        <v>50048</v>
      </c>
    </row>
    <row r="4" spans="1:5" x14ac:dyDescent="0.25">
      <c r="A4" s="45" t="s">
        <v>298</v>
      </c>
      <c r="B4" s="41">
        <v>30921</v>
      </c>
      <c r="C4" s="7"/>
      <c r="D4" s="63" t="s">
        <v>298</v>
      </c>
      <c r="E4" s="64">
        <f t="shared" ref="E4:E8" si="0">SUMIF($A$3:$A$24,D4,$B$3:$B$24)</f>
        <v>73756</v>
      </c>
    </row>
    <row r="5" spans="1:5" x14ac:dyDescent="0.25">
      <c r="A5" s="45" t="s">
        <v>301</v>
      </c>
      <c r="B5" s="41">
        <v>14265</v>
      </c>
      <c r="C5" s="7"/>
      <c r="D5" s="63" t="s">
        <v>299</v>
      </c>
      <c r="E5" s="64">
        <f t="shared" si="0"/>
        <v>82706</v>
      </c>
    </row>
    <row r="6" spans="1:5" x14ac:dyDescent="0.25">
      <c r="A6" s="45" t="s">
        <v>298</v>
      </c>
      <c r="B6" s="41">
        <v>39814</v>
      </c>
      <c r="C6" s="7"/>
      <c r="D6" s="63" t="s">
        <v>300</v>
      </c>
      <c r="E6" s="64">
        <f t="shared" si="0"/>
        <v>86104</v>
      </c>
    </row>
    <row r="7" spans="1:5" x14ac:dyDescent="0.25">
      <c r="A7" s="45" t="s">
        <v>300</v>
      </c>
      <c r="B7" s="41">
        <v>13735</v>
      </c>
      <c r="C7" s="7"/>
      <c r="D7" s="63" t="s">
        <v>304</v>
      </c>
      <c r="E7" s="64">
        <f t="shared" si="0"/>
        <v>86136</v>
      </c>
    </row>
    <row r="8" spans="1:5" x14ac:dyDescent="0.25">
      <c r="A8" s="45" t="s">
        <v>304</v>
      </c>
      <c r="B8" s="41">
        <v>18554</v>
      </c>
      <c r="C8" s="7"/>
      <c r="D8" s="63" t="s">
        <v>301</v>
      </c>
      <c r="E8" s="64">
        <f t="shared" si="0"/>
        <v>142730</v>
      </c>
    </row>
    <row r="9" spans="1:5" x14ac:dyDescent="0.25">
      <c r="A9" s="45" t="s">
        <v>299</v>
      </c>
      <c r="B9" s="41">
        <v>25478</v>
      </c>
      <c r="C9" s="7"/>
      <c r="D9" s="7"/>
      <c r="E9" s="7"/>
    </row>
    <row r="10" spans="1:5" x14ac:dyDescent="0.25">
      <c r="A10" s="45" t="s">
        <v>300</v>
      </c>
      <c r="B10" s="41">
        <v>20184</v>
      </c>
      <c r="C10" s="7"/>
      <c r="D10" s="105" t="s">
        <v>302</v>
      </c>
      <c r="E10" s="106"/>
    </row>
    <row r="11" spans="1:5" x14ac:dyDescent="0.25">
      <c r="A11" s="45" t="s">
        <v>301</v>
      </c>
      <c r="B11" s="41">
        <v>85654</v>
      </c>
      <c r="C11" s="7"/>
      <c r="D11" s="63" t="s">
        <v>297</v>
      </c>
      <c r="E11" s="64">
        <f>AVERAGEIF($A$3:$A$24,$D11,$B$3:$B$24)</f>
        <v>16682.666666666668</v>
      </c>
    </row>
    <row r="12" spans="1:5" x14ac:dyDescent="0.25">
      <c r="A12" s="45" t="s">
        <v>299</v>
      </c>
      <c r="B12" s="41">
        <v>11542</v>
      </c>
      <c r="C12" s="7"/>
      <c r="D12" s="63" t="s">
        <v>298</v>
      </c>
      <c r="E12" s="64">
        <f t="shared" ref="E12:E16" si="1">AVERAGEIF($A$3:$A$24,$D12,$B$3:$B$24)</f>
        <v>24585.333333333332</v>
      </c>
    </row>
    <row r="13" spans="1:5" x14ac:dyDescent="0.25">
      <c r="A13" s="45" t="s">
        <v>301</v>
      </c>
      <c r="B13" s="41">
        <v>37548</v>
      </c>
      <c r="C13" s="7"/>
      <c r="D13" s="63" t="s">
        <v>299</v>
      </c>
      <c r="E13" s="64">
        <f>AVERAGEIF($A$3:$A$24,$D13,$B$3:$B$24)</f>
        <v>13784.333333333334</v>
      </c>
    </row>
    <row r="14" spans="1:5" x14ac:dyDescent="0.25">
      <c r="A14" s="45" t="s">
        <v>299</v>
      </c>
      <c r="B14" s="41">
        <v>6523</v>
      </c>
      <c r="C14" s="7"/>
      <c r="D14" s="63" t="s">
        <v>300</v>
      </c>
      <c r="E14" s="64">
        <f t="shared" si="1"/>
        <v>28701.333333333332</v>
      </c>
    </row>
    <row r="15" spans="1:5" x14ac:dyDescent="0.25">
      <c r="A15" s="45" t="s">
        <v>301</v>
      </c>
      <c r="B15" s="41">
        <v>5263</v>
      </c>
      <c r="C15" s="7"/>
      <c r="D15" s="63" t="s">
        <v>304</v>
      </c>
      <c r="E15" s="64">
        <f t="shared" si="1"/>
        <v>28712</v>
      </c>
    </row>
    <row r="16" spans="1:5" x14ac:dyDescent="0.25">
      <c r="A16" s="45" t="s">
        <v>299</v>
      </c>
      <c r="B16" s="41">
        <v>4875</v>
      </c>
      <c r="C16" s="7"/>
      <c r="D16" s="63" t="s">
        <v>301</v>
      </c>
      <c r="E16" s="64">
        <f t="shared" si="1"/>
        <v>35682.5</v>
      </c>
    </row>
    <row r="17" spans="1:5" x14ac:dyDescent="0.25">
      <c r="A17" s="45" t="s">
        <v>299</v>
      </c>
      <c r="B17" s="41">
        <v>25186</v>
      </c>
      <c r="C17" s="7"/>
      <c r="D17" s="7"/>
      <c r="E17" s="7"/>
    </row>
    <row r="18" spans="1:5" x14ac:dyDescent="0.25">
      <c r="A18" s="45" t="s">
        <v>300</v>
      </c>
      <c r="B18" s="41">
        <v>52185</v>
      </c>
      <c r="C18" s="7"/>
      <c r="D18" s="7"/>
      <c r="E18" s="7"/>
    </row>
    <row r="19" spans="1:5" x14ac:dyDescent="0.25">
      <c r="A19" s="45" t="s">
        <v>299</v>
      </c>
      <c r="B19" s="41">
        <v>9102</v>
      </c>
      <c r="C19" s="7"/>
      <c r="D19" s="7"/>
      <c r="E19" s="7"/>
    </row>
    <row r="20" spans="1:5" x14ac:dyDescent="0.25">
      <c r="A20" s="45" t="s">
        <v>304</v>
      </c>
      <c r="B20" s="41">
        <v>51784</v>
      </c>
      <c r="C20" s="7"/>
      <c r="D20" s="7"/>
      <c r="E20" s="7"/>
    </row>
    <row r="21" spans="1:5" x14ac:dyDescent="0.25">
      <c r="A21" s="45" t="s">
        <v>298</v>
      </c>
      <c r="B21" s="41">
        <v>3021</v>
      </c>
      <c r="C21" s="7"/>
      <c r="D21" s="7"/>
      <c r="E21" s="7"/>
    </row>
    <row r="22" spans="1:5" x14ac:dyDescent="0.25">
      <c r="A22" s="45" t="s">
        <v>297</v>
      </c>
      <c r="B22" s="41">
        <v>19870</v>
      </c>
      <c r="C22" s="7"/>
      <c r="D22" s="7"/>
      <c r="E22" s="7"/>
    </row>
    <row r="23" spans="1:5" x14ac:dyDescent="0.25">
      <c r="A23" s="45" t="s">
        <v>297</v>
      </c>
      <c r="B23" s="41">
        <v>3555</v>
      </c>
      <c r="C23" s="7"/>
      <c r="D23" s="7"/>
      <c r="E23" s="7"/>
    </row>
    <row r="24" spans="1:5" x14ac:dyDescent="0.25">
      <c r="A24" s="45" t="s">
        <v>304</v>
      </c>
      <c r="B24" s="41">
        <v>15798</v>
      </c>
      <c r="C24" s="7"/>
      <c r="D24" s="7"/>
      <c r="E24" s="7"/>
    </row>
  </sheetData>
  <mergeCells count="3">
    <mergeCell ref="A1:E1"/>
    <mergeCell ref="D2:E2"/>
    <mergeCell ref="D10:E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8F04-2A4B-4BC8-A43C-DEFD773A7834}">
  <dimension ref="A1:D10"/>
  <sheetViews>
    <sheetView workbookViewId="0">
      <selection activeCell="D10" sqref="D10"/>
    </sheetView>
  </sheetViews>
  <sheetFormatPr defaultColWidth="18.28515625" defaultRowHeight="15" x14ac:dyDescent="0.25"/>
  <sheetData>
    <row r="1" spans="1:4" x14ac:dyDescent="0.25">
      <c r="A1" s="111" t="s">
        <v>305</v>
      </c>
      <c r="B1" s="127"/>
      <c r="C1" s="127"/>
      <c r="D1" s="127"/>
    </row>
    <row r="2" spans="1:4" ht="36" customHeight="1" x14ac:dyDescent="0.25">
      <c r="A2" s="38" t="s">
        <v>306</v>
      </c>
      <c r="B2" s="38" t="s">
        <v>307</v>
      </c>
      <c r="C2" s="38" t="s">
        <v>308</v>
      </c>
      <c r="D2" s="38" t="s">
        <v>277</v>
      </c>
    </row>
    <row r="3" spans="1:4" x14ac:dyDescent="0.25">
      <c r="A3" s="19" t="s">
        <v>309</v>
      </c>
      <c r="B3" s="37">
        <v>250000</v>
      </c>
      <c r="C3" s="66">
        <f>IF($B3&gt;=300000,0.038,0.025)</f>
        <v>2.5000000000000001E-2</v>
      </c>
      <c r="D3" s="37">
        <f>PRODUCT(B3,C3)</f>
        <v>6250</v>
      </c>
    </row>
    <row r="4" spans="1:4" x14ac:dyDescent="0.25">
      <c r="A4" s="19" t="s">
        <v>310</v>
      </c>
      <c r="B4" s="65">
        <v>345000</v>
      </c>
      <c r="C4" s="66">
        <f t="shared" ref="C4:C10" si="0">IF($B4&gt;=300000,0.038,0.025)</f>
        <v>3.7999999999999999E-2</v>
      </c>
      <c r="D4" s="37">
        <f t="shared" ref="D4:D10" si="1">PRODUCT(B4,C4)</f>
        <v>13110</v>
      </c>
    </row>
    <row r="5" spans="1:4" x14ac:dyDescent="0.25">
      <c r="A5" s="19" t="s">
        <v>81</v>
      </c>
      <c r="B5" s="65">
        <v>500000</v>
      </c>
      <c r="C5" s="66">
        <f t="shared" si="0"/>
        <v>3.7999999999999999E-2</v>
      </c>
      <c r="D5" s="37">
        <f t="shared" si="1"/>
        <v>19000</v>
      </c>
    </row>
    <row r="6" spans="1:4" x14ac:dyDescent="0.25">
      <c r="A6" s="19" t="s">
        <v>311</v>
      </c>
      <c r="B6" s="65">
        <v>859000</v>
      </c>
      <c r="C6" s="66">
        <f t="shared" si="0"/>
        <v>3.7999999999999999E-2</v>
      </c>
      <c r="D6" s="37">
        <f t="shared" si="1"/>
        <v>32642</v>
      </c>
    </row>
    <row r="7" spans="1:4" x14ac:dyDescent="0.25">
      <c r="A7" s="19" t="s">
        <v>312</v>
      </c>
      <c r="B7" s="65">
        <v>450000</v>
      </c>
      <c r="C7" s="66">
        <f t="shared" si="0"/>
        <v>3.7999999999999999E-2</v>
      </c>
      <c r="D7" s="37">
        <f t="shared" si="1"/>
        <v>17100</v>
      </c>
    </row>
    <row r="8" spans="1:4" x14ac:dyDescent="0.25">
      <c r="A8" s="19" t="s">
        <v>313</v>
      </c>
      <c r="B8" s="65">
        <v>680000</v>
      </c>
      <c r="C8" s="66">
        <f t="shared" si="0"/>
        <v>3.7999999999999999E-2</v>
      </c>
      <c r="D8" s="37">
        <f t="shared" si="1"/>
        <v>25840</v>
      </c>
    </row>
    <row r="9" spans="1:4" x14ac:dyDescent="0.25">
      <c r="A9" s="19" t="s">
        <v>314</v>
      </c>
      <c r="B9" s="65">
        <v>890000</v>
      </c>
      <c r="C9" s="66">
        <f t="shared" si="0"/>
        <v>3.7999999999999999E-2</v>
      </c>
      <c r="D9" s="37">
        <f t="shared" si="1"/>
        <v>33820</v>
      </c>
    </row>
    <row r="10" spans="1:4" x14ac:dyDescent="0.25">
      <c r="A10" s="19" t="s">
        <v>315</v>
      </c>
      <c r="B10" s="65">
        <v>260000</v>
      </c>
      <c r="C10" s="66">
        <f t="shared" si="0"/>
        <v>2.5000000000000001E-2</v>
      </c>
      <c r="D10" s="37">
        <f t="shared" si="1"/>
        <v>6500</v>
      </c>
    </row>
  </sheetData>
  <mergeCells count="1">
    <mergeCell ref="A1:D1"/>
  </mergeCells>
  <conditionalFormatting sqref="C3:C10">
    <cfRule type="cellIs" dxfId="4" priority="1" operator="equal">
      <formula>0.025</formula>
    </cfRule>
    <cfRule type="cellIs" dxfId="3" priority="2" operator="equal">
      <formula>0.038</formula>
    </cfRule>
  </conditionalFormatting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BE45-C5A3-4B55-B5B6-3EB374C31FD4}">
  <dimension ref="A1:C9"/>
  <sheetViews>
    <sheetView workbookViewId="0">
      <selection activeCell="C9" sqref="C9"/>
    </sheetView>
  </sheetViews>
  <sheetFormatPr defaultColWidth="18.28515625" defaultRowHeight="15" x14ac:dyDescent="0.25"/>
  <sheetData>
    <row r="1" spans="1:3" x14ac:dyDescent="0.25">
      <c r="A1" s="103" t="s">
        <v>316</v>
      </c>
      <c r="B1" s="103"/>
      <c r="C1" s="103"/>
    </row>
    <row r="2" spans="1:3" x14ac:dyDescent="0.25">
      <c r="A2" s="61" t="s">
        <v>317</v>
      </c>
      <c r="B2" s="61" t="s">
        <v>318</v>
      </c>
      <c r="C2" s="61" t="s">
        <v>98</v>
      </c>
    </row>
    <row r="3" spans="1:3" x14ac:dyDescent="0.25">
      <c r="A3" s="45" t="s">
        <v>319</v>
      </c>
      <c r="B3" s="68">
        <v>5</v>
      </c>
      <c r="C3" s="40" t="str">
        <f>IF(B3&gt;=7,"Aprovado",IF(B3&gt;=4,"Em Recuperação","Reprovado"))</f>
        <v>Em Recuperação</v>
      </c>
    </row>
    <row r="4" spans="1:3" x14ac:dyDescent="0.25">
      <c r="A4" s="45" t="s">
        <v>320</v>
      </c>
      <c r="B4" s="68">
        <v>8</v>
      </c>
      <c r="C4" s="40" t="str">
        <f t="shared" ref="C4:C9" si="0">IF(B4&gt;=7,"Aprovado",IF(B4&gt;=4,"Em Recuperação","Reprovado"))</f>
        <v>Aprovado</v>
      </c>
    </row>
    <row r="5" spans="1:3" x14ac:dyDescent="0.25">
      <c r="A5" s="45" t="s">
        <v>321</v>
      </c>
      <c r="B5" s="68">
        <v>4</v>
      </c>
      <c r="C5" s="40" t="str">
        <f t="shared" si="0"/>
        <v>Em Recuperação</v>
      </c>
    </row>
    <row r="6" spans="1:3" x14ac:dyDescent="0.25">
      <c r="A6" s="45" t="s">
        <v>322</v>
      </c>
      <c r="B6" s="68">
        <v>7.5</v>
      </c>
      <c r="C6" s="40" t="str">
        <f t="shared" si="0"/>
        <v>Aprovado</v>
      </c>
    </row>
    <row r="7" spans="1:3" x14ac:dyDescent="0.25">
      <c r="A7" s="45" t="s">
        <v>315</v>
      </c>
      <c r="B7" s="68">
        <v>10</v>
      </c>
      <c r="C7" s="40" t="str">
        <f t="shared" si="0"/>
        <v>Aprovado</v>
      </c>
    </row>
    <row r="8" spans="1:3" x14ac:dyDescent="0.25">
      <c r="A8" s="45" t="s">
        <v>323</v>
      </c>
      <c r="B8" s="68">
        <v>2</v>
      </c>
      <c r="C8" s="40" t="str">
        <f t="shared" si="0"/>
        <v>Reprovado</v>
      </c>
    </row>
    <row r="9" spans="1:3" x14ac:dyDescent="0.25">
      <c r="A9" s="45" t="s">
        <v>324</v>
      </c>
      <c r="B9" s="68">
        <v>1</v>
      </c>
      <c r="C9" s="40" t="str">
        <f t="shared" si="0"/>
        <v>Reprovado</v>
      </c>
    </row>
  </sheetData>
  <mergeCells count="1">
    <mergeCell ref="A1:C1"/>
  </mergeCells>
  <conditionalFormatting sqref="C3:C9">
    <cfRule type="cellIs" dxfId="2" priority="1" operator="equal">
      <formula>"Reprovado"</formula>
    </cfRule>
    <cfRule type="cellIs" dxfId="1" priority="2" operator="equal">
      <formula>"Em Recuperação"</formula>
    </cfRule>
    <cfRule type="cellIs" dxfId="0" priority="3" operator="equal">
      <formula>"Aprovado"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EA0E-E069-4CDE-9DA9-BB9B6D6FC206}">
  <dimension ref="A1:C11"/>
  <sheetViews>
    <sheetView workbookViewId="0">
      <selection activeCell="B9" sqref="B9"/>
    </sheetView>
  </sheetViews>
  <sheetFormatPr defaultColWidth="18.28515625" defaultRowHeight="15" x14ac:dyDescent="0.25"/>
  <cols>
    <col min="2" max="2" width="27.42578125" customWidth="1"/>
    <col min="3" max="3" width="22.85546875" customWidth="1"/>
  </cols>
  <sheetData>
    <row r="1" spans="1:3" x14ac:dyDescent="0.25">
      <c r="A1" s="108" t="s">
        <v>325</v>
      </c>
      <c r="B1" s="109"/>
      <c r="C1" s="110"/>
    </row>
    <row r="2" spans="1:3" x14ac:dyDescent="0.25">
      <c r="A2" s="61" t="s">
        <v>326</v>
      </c>
      <c r="B2" s="61" t="s">
        <v>327</v>
      </c>
      <c r="C2" s="61" t="s">
        <v>328</v>
      </c>
    </row>
    <row r="3" spans="1:3" x14ac:dyDescent="0.25">
      <c r="A3" s="45" t="s">
        <v>334</v>
      </c>
      <c r="B3" s="40" t="s">
        <v>329</v>
      </c>
      <c r="C3" s="40" t="str">
        <f>IF(B3="Tecnologia da informação","Exigir Certificação","Formação Acadêmica")</f>
        <v>Formação Acadêmica</v>
      </c>
    </row>
    <row r="4" spans="1:3" x14ac:dyDescent="0.25">
      <c r="A4" s="45" t="s">
        <v>315</v>
      </c>
      <c r="B4" s="40" t="s">
        <v>330</v>
      </c>
      <c r="C4" s="40" t="str">
        <f t="shared" ref="C4:C11" si="0">IF(B4="Tecnologia da informação","Exigir Certificação","Formação Acadêmica")</f>
        <v>Formação Acadêmica</v>
      </c>
    </row>
    <row r="5" spans="1:3" x14ac:dyDescent="0.25">
      <c r="A5" s="45" t="s">
        <v>335</v>
      </c>
      <c r="B5" s="40" t="s">
        <v>331</v>
      </c>
      <c r="C5" s="40" t="str">
        <f t="shared" si="0"/>
        <v>Formação Acadêmica</v>
      </c>
    </row>
    <row r="6" spans="1:3" x14ac:dyDescent="0.25">
      <c r="A6" s="45" t="s">
        <v>230</v>
      </c>
      <c r="B6" s="40" t="s">
        <v>341</v>
      </c>
      <c r="C6" s="40" t="str">
        <f>IF(B6="Tecnologia da informação","Exigir Certificação","Formação Acadêmica")</f>
        <v>Exigir Certificação</v>
      </c>
    </row>
    <row r="7" spans="1:3" x14ac:dyDescent="0.25">
      <c r="A7" s="45" t="s">
        <v>336</v>
      </c>
      <c r="B7" s="40" t="s">
        <v>332</v>
      </c>
      <c r="C7" s="40" t="str">
        <f t="shared" si="0"/>
        <v>Formação Acadêmica</v>
      </c>
    </row>
    <row r="8" spans="1:3" x14ac:dyDescent="0.25">
      <c r="A8" s="45" t="s">
        <v>337</v>
      </c>
      <c r="B8" s="40" t="s">
        <v>341</v>
      </c>
      <c r="C8" s="40" t="str">
        <f t="shared" si="0"/>
        <v>Exigir Certificação</v>
      </c>
    </row>
    <row r="9" spans="1:3" x14ac:dyDescent="0.25">
      <c r="A9" s="45" t="s">
        <v>338</v>
      </c>
      <c r="B9" s="40" t="s">
        <v>51</v>
      </c>
      <c r="C9" s="40" t="str">
        <f t="shared" si="0"/>
        <v>Formação Acadêmica</v>
      </c>
    </row>
    <row r="10" spans="1:3" x14ac:dyDescent="0.25">
      <c r="A10" s="45" t="s">
        <v>339</v>
      </c>
      <c r="B10" s="40" t="s">
        <v>341</v>
      </c>
      <c r="C10" s="40" t="str">
        <f t="shared" si="0"/>
        <v>Exigir Certificação</v>
      </c>
    </row>
    <row r="11" spans="1:3" x14ac:dyDescent="0.25">
      <c r="A11" s="45" t="s">
        <v>340</v>
      </c>
      <c r="B11" s="40" t="s">
        <v>333</v>
      </c>
      <c r="C11" s="40" t="str">
        <f t="shared" si="0"/>
        <v>Formação Acadêmica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2BE5-8C27-47B6-9AF8-CDA71D6A5A62}">
  <dimension ref="A1:H12"/>
  <sheetViews>
    <sheetView workbookViewId="0">
      <selection activeCell="D3" sqref="D3"/>
    </sheetView>
  </sheetViews>
  <sheetFormatPr defaultColWidth="18.28515625" defaultRowHeight="15" x14ac:dyDescent="0.25"/>
  <cols>
    <col min="3" max="3" width="21.85546875" bestFit="1" customWidth="1"/>
    <col min="5" max="5" width="3.42578125" customWidth="1"/>
    <col min="7" max="7" width="22.85546875" customWidth="1"/>
  </cols>
  <sheetData>
    <row r="1" spans="1:8" x14ac:dyDescent="0.25">
      <c r="A1" s="111" t="s">
        <v>342</v>
      </c>
      <c r="B1" s="111"/>
      <c r="C1" s="111"/>
      <c r="D1" s="111"/>
      <c r="F1" s="103" t="s">
        <v>347</v>
      </c>
      <c r="G1" s="103"/>
      <c r="H1" s="103"/>
    </row>
    <row r="2" spans="1:8" ht="30" x14ac:dyDescent="0.25">
      <c r="A2" s="67" t="s">
        <v>343</v>
      </c>
      <c r="B2" s="67" t="s">
        <v>344</v>
      </c>
      <c r="C2" s="67" t="s">
        <v>345</v>
      </c>
      <c r="D2" s="67" t="s">
        <v>346</v>
      </c>
      <c r="F2" s="67" t="s">
        <v>343</v>
      </c>
      <c r="G2" s="67" t="s">
        <v>345</v>
      </c>
      <c r="H2" s="67" t="s">
        <v>346</v>
      </c>
    </row>
    <row r="3" spans="1:8" x14ac:dyDescent="0.25">
      <c r="A3" s="40">
        <v>5</v>
      </c>
      <c r="B3" s="19" t="s">
        <v>348</v>
      </c>
      <c r="C3" s="19" t="str">
        <f>VLOOKUP(A3,$F$3:$H$7,2,FALSE)</f>
        <v>Programador</v>
      </c>
      <c r="D3" s="37">
        <f>VLOOKUP(A3,$F$3:$H$7,3,FALSE)</f>
        <v>4750</v>
      </c>
      <c r="F3" s="40">
        <v>1</v>
      </c>
      <c r="G3" s="19" t="s">
        <v>358</v>
      </c>
      <c r="H3" s="41">
        <v>1700</v>
      </c>
    </row>
    <row r="4" spans="1:8" x14ac:dyDescent="0.25">
      <c r="A4" s="40">
        <v>2</v>
      </c>
      <c r="B4" s="19" t="s">
        <v>349</v>
      </c>
      <c r="C4" s="19" t="str">
        <f t="shared" ref="C4:C12" si="0">VLOOKUP(A4,$F$3:$H$7,2,FALSE)</f>
        <v>Auxiliar Administrativo</v>
      </c>
      <c r="D4" s="37">
        <f t="shared" ref="D4:D12" si="1">VLOOKUP(A4,$F$3:$H$7,3,FALSE)</f>
        <v>1850</v>
      </c>
      <c r="F4" s="40">
        <v>2</v>
      </c>
      <c r="G4" s="19" t="s">
        <v>57</v>
      </c>
      <c r="H4" s="41">
        <v>1850</v>
      </c>
    </row>
    <row r="5" spans="1:8" x14ac:dyDescent="0.25">
      <c r="A5" s="40">
        <v>3</v>
      </c>
      <c r="B5" s="19" t="s">
        <v>350</v>
      </c>
      <c r="C5" s="19" t="str">
        <f t="shared" si="0"/>
        <v>Gerente</v>
      </c>
      <c r="D5" s="37">
        <f t="shared" si="1"/>
        <v>5600</v>
      </c>
      <c r="F5" s="40">
        <v>3</v>
      </c>
      <c r="G5" s="19" t="s">
        <v>359</v>
      </c>
      <c r="H5" s="41">
        <v>5600</v>
      </c>
    </row>
    <row r="6" spans="1:8" x14ac:dyDescent="0.25">
      <c r="A6" s="40">
        <v>1</v>
      </c>
      <c r="B6" s="19" t="s">
        <v>351</v>
      </c>
      <c r="C6" s="19" t="str">
        <f t="shared" si="0"/>
        <v>Recepção</v>
      </c>
      <c r="D6" s="37">
        <f t="shared" si="1"/>
        <v>1700</v>
      </c>
      <c r="F6" s="40">
        <v>4</v>
      </c>
      <c r="G6" s="19" t="s">
        <v>61</v>
      </c>
      <c r="H6" s="41">
        <v>3800</v>
      </c>
    </row>
    <row r="7" spans="1:8" x14ac:dyDescent="0.25">
      <c r="A7" s="40">
        <v>2</v>
      </c>
      <c r="B7" s="19" t="s">
        <v>352</v>
      </c>
      <c r="C7" s="19" t="str">
        <f t="shared" si="0"/>
        <v>Auxiliar Administrativo</v>
      </c>
      <c r="D7" s="37">
        <f t="shared" si="1"/>
        <v>1850</v>
      </c>
      <c r="F7" s="40">
        <v>5</v>
      </c>
      <c r="G7" s="19" t="s">
        <v>360</v>
      </c>
      <c r="H7" s="41">
        <v>4750</v>
      </c>
    </row>
    <row r="8" spans="1:8" x14ac:dyDescent="0.25">
      <c r="A8" s="40">
        <v>4</v>
      </c>
      <c r="B8" s="19" t="s">
        <v>353</v>
      </c>
      <c r="C8" s="19" t="str">
        <f t="shared" si="0"/>
        <v>Contador</v>
      </c>
      <c r="D8" s="37">
        <f t="shared" si="1"/>
        <v>3800</v>
      </c>
    </row>
    <row r="9" spans="1:8" x14ac:dyDescent="0.25">
      <c r="A9" s="40">
        <v>1</v>
      </c>
      <c r="B9" s="19" t="s">
        <v>354</v>
      </c>
      <c r="C9" s="19" t="str">
        <f t="shared" si="0"/>
        <v>Recepção</v>
      </c>
      <c r="D9" s="37">
        <f t="shared" si="1"/>
        <v>1700</v>
      </c>
    </row>
    <row r="10" spans="1:8" x14ac:dyDescent="0.25">
      <c r="A10" s="40">
        <v>3</v>
      </c>
      <c r="B10" s="19" t="s">
        <v>355</v>
      </c>
      <c r="C10" s="19" t="str">
        <f t="shared" si="0"/>
        <v>Gerente</v>
      </c>
      <c r="D10" s="37">
        <f t="shared" si="1"/>
        <v>5600</v>
      </c>
    </row>
    <row r="11" spans="1:8" x14ac:dyDescent="0.25">
      <c r="A11" s="40">
        <v>2</v>
      </c>
      <c r="B11" s="19" t="s">
        <v>356</v>
      </c>
      <c r="C11" s="19" t="str">
        <f t="shared" si="0"/>
        <v>Auxiliar Administrativo</v>
      </c>
      <c r="D11" s="37">
        <f t="shared" si="1"/>
        <v>1850</v>
      </c>
    </row>
    <row r="12" spans="1:8" x14ac:dyDescent="0.25">
      <c r="A12" s="40">
        <v>5</v>
      </c>
      <c r="B12" s="19" t="s">
        <v>357</v>
      </c>
      <c r="C12" s="19" t="str">
        <f t="shared" si="0"/>
        <v>Programador</v>
      </c>
      <c r="D12" s="37">
        <f t="shared" si="1"/>
        <v>4750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2A34-C9DC-4F4D-971F-1F2C8DF9CF30}">
  <dimension ref="A1:Q25"/>
  <sheetViews>
    <sheetView workbookViewId="0">
      <selection activeCell="B17" sqref="B17:C17"/>
    </sheetView>
  </sheetViews>
  <sheetFormatPr defaultColWidth="18.28515625" defaultRowHeight="15" x14ac:dyDescent="0.25"/>
  <cols>
    <col min="1" max="1" width="20.85546875" bestFit="1" customWidth="1"/>
    <col min="4" max="4" width="32" customWidth="1"/>
    <col min="10" max="10" width="20.85546875" bestFit="1" customWidth="1"/>
    <col min="13" max="13" width="28.85546875" bestFit="1" customWidth="1"/>
  </cols>
  <sheetData>
    <row r="1" spans="1:17" x14ac:dyDescent="0.25">
      <c r="A1" s="111" t="s">
        <v>414</v>
      </c>
      <c r="B1" s="111"/>
      <c r="C1" s="111"/>
      <c r="D1" s="111"/>
      <c r="E1" s="111"/>
      <c r="F1" s="111"/>
      <c r="G1" s="111"/>
      <c r="H1" s="111"/>
      <c r="J1" s="77"/>
      <c r="K1" s="77"/>
      <c r="L1" s="77"/>
      <c r="M1" s="77"/>
      <c r="N1" s="77"/>
      <c r="O1" s="77"/>
      <c r="P1" s="77"/>
      <c r="Q1" s="77"/>
    </row>
    <row r="2" spans="1:17" ht="30" x14ac:dyDescent="0.25">
      <c r="A2" s="67" t="s">
        <v>47</v>
      </c>
      <c r="B2" s="67" t="s">
        <v>361</v>
      </c>
      <c r="C2" s="67" t="s">
        <v>362</v>
      </c>
      <c r="D2" s="67" t="s">
        <v>363</v>
      </c>
      <c r="E2" s="67" t="s">
        <v>364</v>
      </c>
      <c r="F2" s="67" t="s">
        <v>365</v>
      </c>
      <c r="G2" s="67" t="s">
        <v>366</v>
      </c>
      <c r="H2" s="67" t="s">
        <v>43</v>
      </c>
      <c r="J2" s="78"/>
      <c r="K2" s="78"/>
      <c r="L2" s="78"/>
      <c r="M2" s="78"/>
      <c r="N2" s="78"/>
      <c r="O2" s="78"/>
      <c r="P2" s="78"/>
      <c r="Q2" s="78"/>
    </row>
    <row r="3" spans="1:17" x14ac:dyDescent="0.25">
      <c r="A3" s="74" t="s">
        <v>397</v>
      </c>
      <c r="B3" s="71">
        <v>33248</v>
      </c>
      <c r="C3" s="73" t="s">
        <v>367</v>
      </c>
      <c r="D3" s="74" t="s">
        <v>376</v>
      </c>
      <c r="E3" s="74" t="s">
        <v>387</v>
      </c>
      <c r="F3" s="74" t="s">
        <v>370</v>
      </c>
      <c r="G3" s="73" t="s">
        <v>369</v>
      </c>
      <c r="H3" s="75">
        <v>5421330</v>
      </c>
      <c r="J3" s="79"/>
      <c r="K3" s="80"/>
      <c r="L3" s="81"/>
      <c r="M3" s="79"/>
      <c r="N3" s="79"/>
      <c r="O3" s="79"/>
      <c r="P3" s="81"/>
      <c r="Q3" s="82"/>
    </row>
    <row r="4" spans="1:17" x14ac:dyDescent="0.25">
      <c r="A4" s="74" t="s">
        <v>398</v>
      </c>
      <c r="B4" s="71">
        <v>32912</v>
      </c>
      <c r="C4" s="73" t="s">
        <v>367</v>
      </c>
      <c r="D4" s="74" t="s">
        <v>377</v>
      </c>
      <c r="E4" s="74" t="s">
        <v>388</v>
      </c>
      <c r="F4" s="74" t="s">
        <v>371</v>
      </c>
      <c r="G4" s="73" t="s">
        <v>369</v>
      </c>
      <c r="H4" s="75">
        <v>8721654</v>
      </c>
      <c r="J4" s="79"/>
      <c r="K4" s="80"/>
      <c r="L4" s="81"/>
      <c r="M4" s="79"/>
      <c r="N4" s="79"/>
      <c r="O4" s="79"/>
      <c r="P4" s="81"/>
      <c r="Q4" s="82"/>
    </row>
    <row r="5" spans="1:17" x14ac:dyDescent="0.25">
      <c r="A5" s="74" t="s">
        <v>399</v>
      </c>
      <c r="B5" s="71">
        <v>32576</v>
      </c>
      <c r="C5" s="73" t="s">
        <v>367</v>
      </c>
      <c r="D5" s="74" t="s">
        <v>378</v>
      </c>
      <c r="E5" s="74" t="s">
        <v>389</v>
      </c>
      <c r="F5" s="74" t="s">
        <v>372</v>
      </c>
      <c r="G5" s="73" t="s">
        <v>369</v>
      </c>
      <c r="H5" s="75">
        <v>5524118</v>
      </c>
      <c r="J5" s="79"/>
      <c r="K5" s="80"/>
      <c r="L5" s="81"/>
      <c r="M5" s="79"/>
      <c r="N5" s="79"/>
      <c r="O5" s="79"/>
      <c r="P5" s="81"/>
      <c r="Q5" s="82"/>
    </row>
    <row r="6" spans="1:17" x14ac:dyDescent="0.25">
      <c r="A6" s="74" t="s">
        <v>400</v>
      </c>
      <c r="B6" s="71">
        <v>32240</v>
      </c>
      <c r="C6" s="73" t="s">
        <v>368</v>
      </c>
      <c r="D6" s="74" t="s">
        <v>379</v>
      </c>
      <c r="E6" s="74" t="s">
        <v>390</v>
      </c>
      <c r="F6" s="74" t="s">
        <v>373</v>
      </c>
      <c r="G6" s="73" t="s">
        <v>369</v>
      </c>
      <c r="H6" s="75">
        <v>8484012</v>
      </c>
      <c r="J6" s="79"/>
      <c r="K6" s="80"/>
      <c r="L6" s="81"/>
      <c r="M6" s="79"/>
      <c r="N6" s="79"/>
      <c r="O6" s="79"/>
      <c r="P6" s="81"/>
      <c r="Q6" s="82"/>
    </row>
    <row r="7" spans="1:17" x14ac:dyDescent="0.25">
      <c r="A7" s="74" t="s">
        <v>401</v>
      </c>
      <c r="B7" s="71">
        <v>31904</v>
      </c>
      <c r="C7" s="73" t="s">
        <v>368</v>
      </c>
      <c r="D7" s="74" t="s">
        <v>380</v>
      </c>
      <c r="E7" s="74" t="s">
        <v>391</v>
      </c>
      <c r="F7" s="74" t="s">
        <v>371</v>
      </c>
      <c r="G7" s="73" t="s">
        <v>369</v>
      </c>
      <c r="H7" s="75">
        <v>3547900</v>
      </c>
      <c r="J7" s="79"/>
      <c r="K7" s="80"/>
      <c r="L7" s="81"/>
      <c r="M7" s="79"/>
      <c r="N7" s="79"/>
      <c r="O7" s="79"/>
      <c r="P7" s="81"/>
      <c r="Q7" s="82"/>
    </row>
    <row r="8" spans="1:17" x14ac:dyDescent="0.25">
      <c r="A8" s="74" t="s">
        <v>402</v>
      </c>
      <c r="B8" s="71">
        <v>31568</v>
      </c>
      <c r="C8" s="73" t="s">
        <v>368</v>
      </c>
      <c r="D8" s="74" t="s">
        <v>381</v>
      </c>
      <c r="E8" s="74" t="s">
        <v>392</v>
      </c>
      <c r="F8" s="74" t="s">
        <v>374</v>
      </c>
      <c r="G8" s="73" t="s">
        <v>369</v>
      </c>
      <c r="H8" s="75">
        <v>6545789</v>
      </c>
      <c r="J8" s="79"/>
      <c r="K8" s="80"/>
      <c r="L8" s="81"/>
      <c r="M8" s="79"/>
      <c r="N8" s="79"/>
      <c r="O8" s="79"/>
      <c r="P8" s="81"/>
      <c r="Q8" s="82"/>
    </row>
    <row r="9" spans="1:17" x14ac:dyDescent="0.25">
      <c r="A9" s="74" t="s">
        <v>403</v>
      </c>
      <c r="B9" s="71">
        <v>31232</v>
      </c>
      <c r="C9" s="73" t="s">
        <v>368</v>
      </c>
      <c r="D9" s="74" t="s">
        <v>382</v>
      </c>
      <c r="E9" s="74" t="s">
        <v>393</v>
      </c>
      <c r="F9" s="74" t="s">
        <v>375</v>
      </c>
      <c r="G9" s="73" t="s">
        <v>369</v>
      </c>
      <c r="H9" s="75">
        <v>2149747</v>
      </c>
      <c r="J9" s="79"/>
      <c r="K9" s="80"/>
      <c r="L9" s="81"/>
      <c r="M9" s="79"/>
      <c r="N9" s="79"/>
      <c r="O9" s="79"/>
      <c r="P9" s="81"/>
      <c r="Q9" s="82"/>
    </row>
    <row r="10" spans="1:17" x14ac:dyDescent="0.25">
      <c r="A10" s="74" t="s">
        <v>404</v>
      </c>
      <c r="B10" s="71">
        <v>30896</v>
      </c>
      <c r="C10" s="73" t="s">
        <v>368</v>
      </c>
      <c r="D10" s="74" t="s">
        <v>383</v>
      </c>
      <c r="E10" s="74" t="s">
        <v>394</v>
      </c>
      <c r="F10" s="74" t="s">
        <v>372</v>
      </c>
      <c r="G10" s="73" t="s">
        <v>369</v>
      </c>
      <c r="H10" s="75">
        <v>2265458</v>
      </c>
      <c r="J10" s="79"/>
      <c r="K10" s="80"/>
      <c r="L10" s="81"/>
      <c r="M10" s="79"/>
      <c r="N10" s="79"/>
      <c r="O10" s="79"/>
      <c r="P10" s="81"/>
      <c r="Q10" s="82"/>
    </row>
    <row r="11" spans="1:17" x14ac:dyDescent="0.25">
      <c r="A11" s="74" t="s">
        <v>405</v>
      </c>
      <c r="B11" s="71">
        <v>30560</v>
      </c>
      <c r="C11" s="73" t="s">
        <v>367</v>
      </c>
      <c r="D11" s="74" t="s">
        <v>384</v>
      </c>
      <c r="E11" s="74" t="s">
        <v>395</v>
      </c>
      <c r="F11" s="74" t="s">
        <v>370</v>
      </c>
      <c r="G11" s="73" t="s">
        <v>369</v>
      </c>
      <c r="H11" s="75">
        <v>4987200</v>
      </c>
      <c r="J11" s="79"/>
      <c r="K11" s="80"/>
      <c r="L11" s="81"/>
      <c r="M11" s="79"/>
      <c r="N11" s="79"/>
      <c r="O11" s="79"/>
      <c r="P11" s="81"/>
      <c r="Q11" s="82"/>
    </row>
    <row r="12" spans="1:17" x14ac:dyDescent="0.25">
      <c r="A12" s="74" t="s">
        <v>406</v>
      </c>
      <c r="B12" s="71">
        <v>30224</v>
      </c>
      <c r="C12" s="73" t="s">
        <v>367</v>
      </c>
      <c r="D12" s="74" t="s">
        <v>385</v>
      </c>
      <c r="E12" s="74" t="s">
        <v>396</v>
      </c>
      <c r="F12" s="74" t="s">
        <v>370</v>
      </c>
      <c r="G12" s="73" t="s">
        <v>369</v>
      </c>
      <c r="H12" s="75">
        <v>1212300</v>
      </c>
      <c r="J12" s="79"/>
      <c r="K12" s="80"/>
      <c r="L12" s="81"/>
      <c r="M12" s="79"/>
      <c r="N12" s="79"/>
      <c r="O12" s="79"/>
      <c r="P12" s="81"/>
      <c r="Q12" s="82"/>
    </row>
    <row r="13" spans="1:17" x14ac:dyDescent="0.25">
      <c r="A13" s="74" t="s">
        <v>407</v>
      </c>
      <c r="B13" s="71">
        <v>29888</v>
      </c>
      <c r="C13" s="73" t="s">
        <v>367</v>
      </c>
      <c r="D13" s="74" t="s">
        <v>386</v>
      </c>
      <c r="E13" s="74" t="s">
        <v>388</v>
      </c>
      <c r="F13" s="74" t="s">
        <v>374</v>
      </c>
      <c r="G13" s="73" t="s">
        <v>369</v>
      </c>
      <c r="H13" s="75">
        <v>7584219</v>
      </c>
      <c r="J13" s="79"/>
      <c r="K13" s="80"/>
      <c r="L13" s="81"/>
      <c r="M13" s="79"/>
      <c r="N13" s="79"/>
      <c r="O13" s="79"/>
      <c r="P13" s="81"/>
      <c r="Q13" s="82"/>
    </row>
    <row r="14" spans="1:17" x14ac:dyDescent="0.25">
      <c r="J14" s="83"/>
      <c r="K14" s="83"/>
      <c r="L14" s="83"/>
      <c r="M14" s="83"/>
      <c r="N14" s="83"/>
      <c r="O14" s="83"/>
      <c r="P14" s="83"/>
      <c r="Q14" s="83"/>
    </row>
    <row r="15" spans="1:17" x14ac:dyDescent="0.25">
      <c r="A15" s="130" t="s">
        <v>408</v>
      </c>
      <c r="B15" s="130"/>
      <c r="C15" s="130"/>
      <c r="J15" s="84"/>
      <c r="K15" s="84"/>
      <c r="L15" s="84"/>
      <c r="M15" s="83"/>
      <c r="N15" s="83"/>
      <c r="O15" s="83"/>
      <c r="P15" s="83"/>
      <c r="Q15" s="83"/>
    </row>
    <row r="16" spans="1:17" x14ac:dyDescent="0.25">
      <c r="A16" s="76" t="s">
        <v>409</v>
      </c>
      <c r="B16" s="131" t="s">
        <v>400</v>
      </c>
      <c r="C16" s="131"/>
      <c r="J16" s="85"/>
      <c r="K16" s="89"/>
      <c r="L16" s="89"/>
      <c r="M16" s="83"/>
      <c r="N16" s="83"/>
      <c r="O16" s="83"/>
      <c r="P16" s="83"/>
      <c r="Q16" s="83"/>
    </row>
    <row r="17" spans="1:17" x14ac:dyDescent="0.25">
      <c r="A17" s="76" t="s">
        <v>410</v>
      </c>
      <c r="B17" s="128">
        <f>VLOOKUP($B$16,$A$3:$H$13,2,FALSE)</f>
        <v>32240</v>
      </c>
      <c r="C17" s="128"/>
      <c r="J17" s="85"/>
      <c r="K17" s="87"/>
      <c r="L17" s="87"/>
      <c r="M17" s="83"/>
      <c r="N17" s="83"/>
      <c r="O17" s="83"/>
      <c r="P17" s="83"/>
      <c r="Q17" s="83"/>
    </row>
    <row r="18" spans="1:17" x14ac:dyDescent="0.25">
      <c r="A18" s="76" t="s">
        <v>411</v>
      </c>
      <c r="B18" s="128" t="str">
        <f>VLOOKUP($B$16,$A$3:$H$13,3,FALSE)</f>
        <v>M</v>
      </c>
      <c r="C18" s="128"/>
      <c r="J18" s="85"/>
      <c r="K18" s="87"/>
      <c r="L18" s="87"/>
      <c r="M18" s="83"/>
      <c r="N18" s="83"/>
      <c r="O18" s="83"/>
      <c r="P18" s="83"/>
      <c r="Q18" s="83"/>
    </row>
    <row r="19" spans="1:17" x14ac:dyDescent="0.25">
      <c r="A19" s="76" t="s">
        <v>208</v>
      </c>
      <c r="B19" s="128" t="str">
        <f>VLOOKUP($B$16,$A$3:$H$13,4,FALSE)</f>
        <v>Av. João Bosco, 415</v>
      </c>
      <c r="C19" s="128"/>
      <c r="J19" s="85"/>
      <c r="K19" s="87"/>
      <c r="L19" s="87"/>
      <c r="M19" s="83"/>
      <c r="N19" s="83"/>
      <c r="O19" s="83"/>
      <c r="P19" s="83"/>
      <c r="Q19" s="83"/>
    </row>
    <row r="20" spans="1:17" x14ac:dyDescent="0.25">
      <c r="A20" s="76" t="s">
        <v>412</v>
      </c>
      <c r="B20" s="128" t="str">
        <f>VLOOKUP($B$16,$A$3:$H$13,5,FALSE)</f>
        <v>Leme</v>
      </c>
      <c r="C20" s="128"/>
      <c r="J20" s="85"/>
      <c r="K20" s="87"/>
      <c r="L20" s="87"/>
      <c r="M20" s="83"/>
      <c r="N20" s="83"/>
      <c r="O20" s="83"/>
      <c r="P20" s="83"/>
      <c r="Q20" s="83"/>
    </row>
    <row r="21" spans="1:17" x14ac:dyDescent="0.25">
      <c r="A21" s="76" t="s">
        <v>207</v>
      </c>
      <c r="B21" s="128" t="str">
        <f>VLOOKUP($B$16,$A$3:$H$13,6,FALSE)</f>
        <v>Carapícuiba</v>
      </c>
      <c r="C21" s="128"/>
      <c r="J21" s="85"/>
      <c r="K21" s="87"/>
      <c r="L21" s="87"/>
      <c r="M21" s="83"/>
      <c r="N21" s="83"/>
      <c r="O21" s="83"/>
      <c r="P21" s="83"/>
      <c r="Q21" s="83"/>
    </row>
    <row r="22" spans="1:17" x14ac:dyDescent="0.25">
      <c r="A22" s="76" t="s">
        <v>413</v>
      </c>
      <c r="B22" s="128" t="str">
        <f>VLOOKUP($B$16,$A$3:$H$13,7,FALSE)</f>
        <v>SP</v>
      </c>
      <c r="C22" s="128"/>
      <c r="J22" s="85"/>
      <c r="K22" s="87"/>
      <c r="L22" s="87"/>
      <c r="M22" s="83"/>
      <c r="N22" s="83"/>
      <c r="O22" s="83"/>
      <c r="P22" s="83"/>
      <c r="Q22" s="83"/>
    </row>
    <row r="23" spans="1:17" x14ac:dyDescent="0.25">
      <c r="A23" s="76" t="s">
        <v>43</v>
      </c>
      <c r="B23" s="129">
        <f>VLOOKUP($B$16,$A$3:$H$13,8,FALSE)</f>
        <v>8484012</v>
      </c>
      <c r="C23" s="129"/>
      <c r="J23" s="85"/>
      <c r="K23" s="88"/>
      <c r="L23" s="88"/>
      <c r="M23" s="83"/>
      <c r="N23" s="83"/>
      <c r="O23" s="83"/>
      <c r="P23" s="83"/>
      <c r="Q23" s="83"/>
    </row>
    <row r="24" spans="1:17" x14ac:dyDescent="0.25">
      <c r="J24" s="86"/>
      <c r="K24" s="86"/>
      <c r="L24" s="86"/>
      <c r="M24" s="86"/>
      <c r="N24" s="86"/>
      <c r="O24" s="86"/>
      <c r="P24" s="86"/>
      <c r="Q24" s="86"/>
    </row>
    <row r="25" spans="1:17" x14ac:dyDescent="0.25">
      <c r="J25" s="86"/>
      <c r="K25" s="86"/>
      <c r="L25" s="86"/>
      <c r="M25" s="86"/>
      <c r="N25" s="86"/>
      <c r="O25" s="86"/>
      <c r="P25" s="86"/>
      <c r="Q25" s="86"/>
    </row>
  </sheetData>
  <mergeCells count="10">
    <mergeCell ref="A1:H1"/>
    <mergeCell ref="A15:C15"/>
    <mergeCell ref="B16:C16"/>
    <mergeCell ref="B17:C17"/>
    <mergeCell ref="B18:C18"/>
    <mergeCell ref="B19:C19"/>
    <mergeCell ref="B20:C20"/>
    <mergeCell ref="B21:C21"/>
    <mergeCell ref="B22:C22"/>
    <mergeCell ref="B23:C23"/>
  </mergeCells>
  <dataValidations count="2">
    <dataValidation type="list" allowBlank="1" showInputMessage="1" showErrorMessage="1" sqref="K16:L16" xr:uid="{D24E4997-11E7-43F4-98AD-8963A5EEE39C}">
      <formula1>$J$3:$J$13</formula1>
    </dataValidation>
    <dataValidation type="list" allowBlank="1" showInputMessage="1" showErrorMessage="1" sqref="B16:C16" xr:uid="{1C85EC2B-7902-45E0-BEE6-16F80CE8B84C}">
      <formula1>$A$3:$A$13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46B2-D0AC-4B7C-BBFB-5146D3ADB459}">
  <dimension ref="A1:J13"/>
  <sheetViews>
    <sheetView tabSelected="1" workbookViewId="0">
      <selection activeCell="E3" sqref="E3"/>
    </sheetView>
  </sheetViews>
  <sheetFormatPr defaultRowHeight="15" x14ac:dyDescent="0.25"/>
  <cols>
    <col min="1" max="1" width="9.28515625" bestFit="1" customWidth="1"/>
    <col min="5" max="5" width="11.5703125" bestFit="1" customWidth="1"/>
    <col min="6" max="6" width="14.7109375" bestFit="1" customWidth="1"/>
    <col min="7" max="7" width="3.42578125" customWidth="1"/>
    <col min="10" max="10" width="14.7109375" bestFit="1" customWidth="1"/>
  </cols>
  <sheetData>
    <row r="1" spans="1:10" x14ac:dyDescent="0.25">
      <c r="A1" s="103" t="s">
        <v>418</v>
      </c>
      <c r="B1" s="103"/>
      <c r="C1" s="103"/>
      <c r="D1" s="103"/>
      <c r="E1" s="103"/>
      <c r="F1" s="103"/>
      <c r="H1" s="130" t="s">
        <v>415</v>
      </c>
      <c r="I1" s="130"/>
      <c r="J1" s="130"/>
    </row>
    <row r="2" spans="1:10" x14ac:dyDescent="0.25">
      <c r="A2" s="90" t="s">
        <v>47</v>
      </c>
      <c r="B2" s="90" t="s">
        <v>419</v>
      </c>
      <c r="C2" s="90" t="s">
        <v>420</v>
      </c>
      <c r="D2" s="90" t="s">
        <v>421</v>
      </c>
      <c r="E2" s="90" t="s">
        <v>422</v>
      </c>
      <c r="F2" s="72" t="s">
        <v>98</v>
      </c>
      <c r="H2" s="72" t="s">
        <v>416</v>
      </c>
      <c r="I2" s="72" t="s">
        <v>417</v>
      </c>
      <c r="J2" s="72" t="s">
        <v>98</v>
      </c>
    </row>
    <row r="3" spans="1:10" x14ac:dyDescent="0.25">
      <c r="A3" s="45" t="s">
        <v>423</v>
      </c>
      <c r="B3" s="42">
        <v>21</v>
      </c>
      <c r="C3" s="42">
        <v>54</v>
      </c>
      <c r="D3" s="91">
        <v>1.6</v>
      </c>
      <c r="E3" s="91">
        <f>TRUNC(C3/(D3*D3),2)</f>
        <v>21.09</v>
      </c>
      <c r="F3" s="45" t="str">
        <f>VLOOKUP(E3,$H$3:$J$7,3,TRUE)</f>
        <v>Normal</v>
      </c>
      <c r="H3" s="40">
        <v>0</v>
      </c>
      <c r="I3" s="40">
        <v>18</v>
      </c>
      <c r="J3" s="19" t="s">
        <v>430</v>
      </c>
    </row>
    <row r="4" spans="1:10" x14ac:dyDescent="0.25">
      <c r="A4" s="45" t="s">
        <v>424</v>
      </c>
      <c r="B4" s="92">
        <v>28</v>
      </c>
      <c r="C4" s="42">
        <v>58</v>
      </c>
      <c r="D4" s="91">
        <v>1.75</v>
      </c>
      <c r="E4" s="91">
        <f t="shared" ref="E4:E13" si="0">C4/(D4*D4)</f>
        <v>18.938775510204081</v>
      </c>
      <c r="F4" s="45" t="str">
        <f t="shared" ref="F4:F13" si="1">VLOOKUP(E4,$H$3:$J$7,3,TRUE)</f>
        <v>Abaixo do Peso</v>
      </c>
      <c r="H4" s="40">
        <v>19</v>
      </c>
      <c r="I4" s="40">
        <v>24</v>
      </c>
      <c r="J4" s="19" t="s">
        <v>431</v>
      </c>
    </row>
    <row r="5" spans="1:10" x14ac:dyDescent="0.25">
      <c r="A5" s="45" t="s">
        <v>425</v>
      </c>
      <c r="B5" s="42">
        <v>16</v>
      </c>
      <c r="C5" s="42">
        <v>70</v>
      </c>
      <c r="D5" s="91">
        <v>1.68</v>
      </c>
      <c r="E5" s="91">
        <f t="shared" si="0"/>
        <v>24.801587301587304</v>
      </c>
      <c r="F5" s="45" t="str">
        <f t="shared" si="1"/>
        <v>Normal</v>
      </c>
      <c r="H5" s="40">
        <v>25</v>
      </c>
      <c r="I5" s="40">
        <v>29</v>
      </c>
      <c r="J5" s="19" t="s">
        <v>432</v>
      </c>
    </row>
    <row r="6" spans="1:10" x14ac:dyDescent="0.25">
      <c r="A6" s="45" t="s">
        <v>280</v>
      </c>
      <c r="B6" s="42">
        <v>15</v>
      </c>
      <c r="C6" s="42">
        <v>115</v>
      </c>
      <c r="D6" s="91">
        <v>1.9</v>
      </c>
      <c r="E6" s="91">
        <f t="shared" si="0"/>
        <v>31.855955678670362</v>
      </c>
      <c r="F6" s="45" t="str">
        <f t="shared" si="1"/>
        <v>Obeso</v>
      </c>
      <c r="H6" s="40">
        <v>30</v>
      </c>
      <c r="I6" s="40">
        <v>39</v>
      </c>
      <c r="J6" s="19" t="s">
        <v>433</v>
      </c>
    </row>
    <row r="7" spans="1:10" x14ac:dyDescent="0.25">
      <c r="A7" s="45" t="s">
        <v>426</v>
      </c>
      <c r="B7" s="42">
        <v>29</v>
      </c>
      <c r="C7" s="42">
        <v>62</v>
      </c>
      <c r="D7" s="91">
        <v>1.54</v>
      </c>
      <c r="E7" s="91">
        <f t="shared" si="0"/>
        <v>26.14268848035082</v>
      </c>
      <c r="F7" s="45" t="str">
        <f t="shared" si="1"/>
        <v>Sobrepeso</v>
      </c>
      <c r="H7" s="40">
        <v>40</v>
      </c>
      <c r="I7" s="40">
        <v>80</v>
      </c>
      <c r="J7" s="19" t="s">
        <v>434</v>
      </c>
    </row>
    <row r="8" spans="1:10" x14ac:dyDescent="0.25">
      <c r="A8" s="45" t="s">
        <v>427</v>
      </c>
      <c r="B8" s="42">
        <v>32</v>
      </c>
      <c r="C8" s="42">
        <v>59</v>
      </c>
      <c r="D8" s="91">
        <v>1.61</v>
      </c>
      <c r="E8" s="91">
        <f t="shared" si="0"/>
        <v>22.761467535974688</v>
      </c>
      <c r="F8" s="45" t="str">
        <f t="shared" si="1"/>
        <v>Normal</v>
      </c>
    </row>
    <row r="9" spans="1:10" x14ac:dyDescent="0.25">
      <c r="A9" s="45" t="s">
        <v>225</v>
      </c>
      <c r="B9" s="42">
        <v>41</v>
      </c>
      <c r="C9" s="42">
        <v>74</v>
      </c>
      <c r="D9" s="91">
        <v>1.63</v>
      </c>
      <c r="E9" s="91">
        <f t="shared" si="0"/>
        <v>27.852007979223909</v>
      </c>
      <c r="F9" s="45" t="str">
        <f t="shared" si="1"/>
        <v>Sobrepeso</v>
      </c>
    </row>
    <row r="10" spans="1:10" x14ac:dyDescent="0.25">
      <c r="A10" s="45" t="s">
        <v>428</v>
      </c>
      <c r="B10" s="42">
        <v>57</v>
      </c>
      <c r="C10" s="42">
        <v>68</v>
      </c>
      <c r="D10" s="91">
        <v>1.75</v>
      </c>
      <c r="E10" s="91">
        <f t="shared" si="0"/>
        <v>22.204081632653061</v>
      </c>
      <c r="F10" s="45" t="str">
        <f t="shared" si="1"/>
        <v>Normal</v>
      </c>
    </row>
    <row r="11" spans="1:10" x14ac:dyDescent="0.25">
      <c r="A11" s="45" t="s">
        <v>340</v>
      </c>
      <c r="B11" s="42">
        <v>18</v>
      </c>
      <c r="C11" s="42">
        <v>94</v>
      </c>
      <c r="D11" s="91">
        <v>1.82</v>
      </c>
      <c r="E11" s="91">
        <f t="shared" si="0"/>
        <v>28.378215191402003</v>
      </c>
      <c r="F11" s="45" t="str">
        <f t="shared" si="1"/>
        <v>Sobrepeso</v>
      </c>
    </row>
    <row r="12" spans="1:10" x14ac:dyDescent="0.25">
      <c r="A12" s="45" t="s">
        <v>429</v>
      </c>
      <c r="B12" s="42">
        <v>68</v>
      </c>
      <c r="C12" s="42">
        <v>60</v>
      </c>
      <c r="D12" s="91">
        <v>1.59</v>
      </c>
      <c r="E12" s="91">
        <f t="shared" si="0"/>
        <v>23.733238400379729</v>
      </c>
      <c r="F12" s="45" t="str">
        <f t="shared" si="1"/>
        <v>Normal</v>
      </c>
    </row>
    <row r="13" spans="1:10" x14ac:dyDescent="0.25">
      <c r="A13" s="45" t="s">
        <v>322</v>
      </c>
      <c r="B13" s="42">
        <v>19</v>
      </c>
      <c r="C13" s="42">
        <v>120</v>
      </c>
      <c r="D13" s="91">
        <v>1.72</v>
      </c>
      <c r="E13" s="91">
        <f t="shared" si="0"/>
        <v>40.562466197944836</v>
      </c>
      <c r="F13" s="45" t="str">
        <f t="shared" si="1"/>
        <v>Obeso Grave</v>
      </c>
    </row>
  </sheetData>
  <mergeCells count="2">
    <mergeCell ref="A1:F1"/>
    <mergeCell ref="H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  <vt:lpstr>24-Cont.se e Somase 2</vt:lpstr>
      <vt:lpstr>25-Somase Mediase 1</vt:lpstr>
      <vt:lpstr>26-Funcao SE</vt:lpstr>
      <vt:lpstr>27-Funcao SE Aninhada</vt:lpstr>
      <vt:lpstr>28-SE com Texto</vt:lpstr>
      <vt:lpstr>30-Procv Exato 1</vt:lpstr>
      <vt:lpstr>31-Procv Exato 2</vt:lpstr>
      <vt:lpstr>32-Procv Aproximado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2026-03-18T22:55:17Z</dcterms:modified>
</cp:coreProperties>
</file>