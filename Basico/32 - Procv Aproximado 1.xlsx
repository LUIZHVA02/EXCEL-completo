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lck.alunos\Desktop\Luiz Henrique Vidal Araujo - Excel completo\"/>
    </mc:Choice>
  </mc:AlternateContent>
  <xr:revisionPtr revIDLastSave="0" documentId="13_ncr:1_{1AD5B61C-6374-473A-8C2F-411AAF9C4A6C}" xr6:coauthVersionLast="36" xr6:coauthVersionMax="36" xr10:uidLastSave="{00000000-0000-0000-0000-000000000000}"/>
  <bookViews>
    <workbookView xWindow="0" yWindow="0" windowWidth="15360" windowHeight="7425" firstSheet="24" activeTab="30" xr2:uid="{A5E3398E-808E-49BA-92C6-AB43937C9D3D}"/>
  </bookViews>
  <sheets>
    <sheet name="01-formatacao" sheetId="1" r:id="rId1"/>
    <sheet name="02-Listas" sheetId="2" r:id="rId2"/>
    <sheet name="03-Formatos Personalizados" sheetId="3" r:id="rId3"/>
    <sheet name="04-Classificacao e filtro" sheetId="4" r:id="rId4"/>
    <sheet name="05-Formulas e Funcoes" sheetId="6" r:id="rId5"/>
    <sheet name="06-Porcentagem" sheetId="7" r:id="rId6"/>
    <sheet name="07-Acrescimo 1" sheetId="8" r:id="rId7"/>
    <sheet name="08-Acrescimo 2" sheetId="9" r:id="rId8"/>
    <sheet name="09-Desconto 1" sheetId="10" r:id="rId9"/>
    <sheet name="10-Desconto 2" sheetId="11" r:id="rId10"/>
    <sheet name="11-Copia relativa" sheetId="12" r:id="rId11"/>
    <sheet name="12-Copia Mista" sheetId="13" r:id="rId12"/>
    <sheet name="13-Copia Absoluta" sheetId="14" r:id="rId13"/>
    <sheet name="14-Calculos Basicos 1" sheetId="15" r:id="rId14"/>
    <sheet name="15-Calculos Basicos 2" sheetId="16" r:id="rId15"/>
    <sheet name="16-Calculos Basicos 3" sheetId="17" r:id="rId16"/>
    <sheet name="17-Calculos Basicos 4" sheetId="18" r:id="rId17"/>
    <sheet name="18-Calculos Basicos 5" sheetId="19" r:id="rId18"/>
    <sheet name="19-Calculos Basicos 6" sheetId="20" r:id="rId19"/>
    <sheet name="20-Juros Simples" sheetId="21" r:id="rId20"/>
    <sheet name="21-Funcoes de Contagem 1" sheetId="22" r:id="rId21"/>
    <sheet name="22-Funcoes de Contagem 2" sheetId="23" r:id="rId22"/>
    <sheet name="23-Cont.se e Somase 1" sheetId="24" r:id="rId23"/>
    <sheet name="24-Cont.se e Somase 2" sheetId="25" r:id="rId24"/>
    <sheet name="25-Somase Mediase 1" sheetId="26" r:id="rId25"/>
    <sheet name="26-Funcao SE" sheetId="27" r:id="rId26"/>
    <sheet name="27-Funcao SE Aninhada" sheetId="28" r:id="rId27"/>
    <sheet name="28-SE com Texto" sheetId="30" r:id="rId28"/>
    <sheet name="30-Procv Exato 1" sheetId="31" r:id="rId29"/>
    <sheet name="31-Procv Exato 2" sheetId="32" r:id="rId30"/>
    <sheet name="32-Procv Aproximado 1" sheetId="33" r:id="rId3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33" l="1"/>
  <c r="F5" i="33"/>
  <c r="F6" i="33"/>
  <c r="F7" i="33"/>
  <c r="F8" i="33"/>
  <c r="F9" i="33"/>
  <c r="F10" i="33"/>
  <c r="F11" i="33"/>
  <c r="F12" i="33"/>
  <c r="F13" i="33"/>
  <c r="F3" i="33"/>
  <c r="B17" i="32"/>
  <c r="E4" i="33"/>
  <c r="E5" i="33"/>
  <c r="E6" i="33"/>
  <c r="E7" i="33"/>
  <c r="E8" i="33"/>
  <c r="E9" i="33"/>
  <c r="E10" i="33"/>
  <c r="E11" i="33"/>
  <c r="E12" i="33"/>
  <c r="E13" i="33"/>
  <c r="E3" i="33"/>
  <c r="B23" i="32" l="1"/>
  <c r="B22" i="32"/>
  <c r="B21" i="32"/>
  <c r="B20" i="32"/>
  <c r="B19" i="32"/>
  <c r="B18" i="32"/>
  <c r="D4" i="31" l="1"/>
  <c r="D5" i="31"/>
  <c r="D6" i="31"/>
  <c r="D7" i="31"/>
  <c r="D8" i="31"/>
  <c r="D9" i="31"/>
  <c r="D10" i="31"/>
  <c r="D11" i="31"/>
  <c r="D12" i="31"/>
  <c r="D3" i="31"/>
  <c r="C4" i="31"/>
  <c r="C5" i="31"/>
  <c r="C6" i="31"/>
  <c r="C7" i="31"/>
  <c r="C8" i="31"/>
  <c r="C9" i="31"/>
  <c r="C10" i="31"/>
  <c r="C11" i="31"/>
  <c r="C12" i="31"/>
  <c r="C3" i="31"/>
  <c r="C3" i="30" l="1"/>
  <c r="C6" i="30"/>
  <c r="C4" i="30"/>
  <c r="C5" i="30"/>
  <c r="C7" i="30"/>
  <c r="C8" i="30"/>
  <c r="C9" i="30"/>
  <c r="C10" i="30"/>
  <c r="C11" i="30"/>
  <c r="F11" i="21"/>
  <c r="G11" i="21" s="1"/>
  <c r="D17" i="20"/>
  <c r="D16" i="20"/>
  <c r="D9" i="20"/>
  <c r="F3" i="21"/>
  <c r="G3" i="21"/>
  <c r="I7" i="24"/>
  <c r="H7" i="24"/>
  <c r="E14" i="24"/>
  <c r="I3" i="25"/>
  <c r="G7" i="25"/>
  <c r="G3" i="25"/>
  <c r="D4" i="27" l="1"/>
  <c r="D5" i="27"/>
  <c r="D6" i="27"/>
  <c r="D7" i="27"/>
  <c r="D8" i="27"/>
  <c r="D9" i="27"/>
  <c r="D10" i="27"/>
  <c r="D3" i="27"/>
  <c r="C3" i="28" l="1"/>
  <c r="C4" i="28"/>
  <c r="C5" i="28"/>
  <c r="C6" i="28"/>
  <c r="C7" i="28"/>
  <c r="C8" i="28"/>
  <c r="C9" i="28"/>
  <c r="C4" i="27" l="1"/>
  <c r="C5" i="27"/>
  <c r="C6" i="27"/>
  <c r="C7" i="27"/>
  <c r="C8" i="27"/>
  <c r="C9" i="27"/>
  <c r="C10" i="27"/>
  <c r="C3" i="27"/>
  <c r="F18" i="18"/>
  <c r="F17" i="18"/>
  <c r="F16" i="18"/>
  <c r="F15" i="18"/>
  <c r="E13" i="26"/>
  <c r="E12" i="26"/>
  <c r="E14" i="26"/>
  <c r="E15" i="26"/>
  <c r="E16" i="26"/>
  <c r="E11" i="26"/>
  <c r="E8" i="26"/>
  <c r="E7" i="26"/>
  <c r="E6" i="26"/>
  <c r="E5" i="26"/>
  <c r="E4" i="26"/>
  <c r="E3" i="26"/>
  <c r="H7" i="25"/>
  <c r="H4" i="25"/>
  <c r="H5" i="25"/>
  <c r="H6" i="25"/>
  <c r="H3" i="25"/>
  <c r="I4" i="25"/>
  <c r="I5" i="25"/>
  <c r="I6" i="25"/>
  <c r="I7" i="25"/>
  <c r="I10" i="25"/>
  <c r="G4" i="25"/>
  <c r="G5" i="25"/>
  <c r="G6" i="25"/>
  <c r="I9" i="24" l="1"/>
  <c r="H3" i="24"/>
  <c r="H4" i="24"/>
  <c r="H5" i="24"/>
  <c r="H6" i="24"/>
  <c r="H8" i="24"/>
  <c r="K3" i="23"/>
  <c r="E20" i="24"/>
  <c r="E6" i="24"/>
  <c r="I3" i="24" s="1"/>
  <c r="E11" i="24"/>
  <c r="E12" i="24"/>
  <c r="I5" i="24"/>
  <c r="E15" i="24"/>
  <c r="E16" i="24"/>
  <c r="E13" i="24"/>
  <c r="E3" i="24"/>
  <c r="I6" i="24" s="1"/>
  <c r="E21" i="24"/>
  <c r="E4" i="24"/>
  <c r="E5" i="24"/>
  <c r="E17" i="24"/>
  <c r="E7" i="24"/>
  <c r="E8" i="24"/>
  <c r="E22" i="24"/>
  <c r="E18" i="24"/>
  <c r="E19" i="24"/>
  <c r="I8" i="24" s="1"/>
  <c r="E9" i="24"/>
  <c r="E10" i="24"/>
  <c r="I4" i="24" s="1"/>
  <c r="H9" i="24" l="1"/>
  <c r="C3" i="16"/>
  <c r="E5" i="22"/>
  <c r="E2" i="22"/>
  <c r="N4" i="23"/>
  <c r="N5" i="23"/>
  <c r="N3" i="23"/>
  <c r="K4" i="23"/>
  <c r="K5" i="23"/>
  <c r="H4" i="23"/>
  <c r="H5" i="23"/>
  <c r="H6" i="23"/>
  <c r="H7" i="23"/>
  <c r="H3" i="23"/>
  <c r="E3" i="22"/>
  <c r="E4" i="22"/>
  <c r="G4" i="21"/>
  <c r="G5" i="21"/>
  <c r="G6" i="21"/>
  <c r="G7" i="21"/>
  <c r="G8" i="21"/>
  <c r="G9" i="21"/>
  <c r="G10" i="21"/>
  <c r="F4" i="21"/>
  <c r="F5" i="21"/>
  <c r="F6" i="21"/>
  <c r="F7" i="21"/>
  <c r="F8" i="21"/>
  <c r="F9" i="21"/>
  <c r="F10" i="21"/>
  <c r="D18" i="20" l="1"/>
  <c r="D15" i="20"/>
  <c r="D10" i="20"/>
  <c r="D11" i="20"/>
  <c r="D12" i="20"/>
  <c r="D13" i="20"/>
  <c r="F4" i="19" l="1"/>
  <c r="F5" i="19"/>
  <c r="F6" i="19"/>
  <c r="F7" i="19"/>
  <c r="F8" i="19"/>
  <c r="F3" i="19"/>
  <c r="D4" i="19"/>
  <c r="D5" i="19"/>
  <c r="D6" i="19"/>
  <c r="D7" i="19"/>
  <c r="D8" i="19"/>
  <c r="D3" i="19"/>
  <c r="F13" i="18" l="1"/>
  <c r="E4" i="18"/>
  <c r="F4" i="18" s="1"/>
  <c r="E5" i="18"/>
  <c r="F5" i="18" s="1"/>
  <c r="E6" i="18"/>
  <c r="F6" i="18" s="1"/>
  <c r="E7" i="18"/>
  <c r="F7" i="18" s="1"/>
  <c r="E8" i="18"/>
  <c r="F8" i="18" s="1"/>
  <c r="E9" i="18"/>
  <c r="F9" i="18" s="1"/>
  <c r="E10" i="18"/>
  <c r="F10" i="18" s="1"/>
  <c r="E11" i="18"/>
  <c r="F11" i="18" s="1"/>
  <c r="E12" i="18"/>
  <c r="F12" i="18" s="1"/>
  <c r="E13" i="18"/>
  <c r="E14" i="18"/>
  <c r="F14" i="18" s="1"/>
  <c r="E3" i="18"/>
  <c r="F3" i="18" s="1"/>
  <c r="D4" i="17"/>
  <c r="D5" i="17"/>
  <c r="D6" i="17"/>
  <c r="D7" i="17"/>
  <c r="D3" i="17"/>
  <c r="C4" i="17"/>
  <c r="C5" i="17"/>
  <c r="C6" i="17"/>
  <c r="C7" i="17"/>
  <c r="C3" i="17"/>
  <c r="C4" i="16" l="1"/>
  <c r="C5" i="16"/>
  <c r="C6" i="16"/>
  <c r="C7" i="16"/>
  <c r="C8" i="16"/>
  <c r="C9" i="16"/>
  <c r="E13" i="15"/>
  <c r="E4" i="15"/>
  <c r="E5" i="15"/>
  <c r="E6" i="15"/>
  <c r="E7" i="15"/>
  <c r="E8" i="15"/>
  <c r="E9" i="15"/>
  <c r="E10" i="15"/>
  <c r="E11" i="15"/>
  <c r="E12" i="15"/>
  <c r="E3" i="15"/>
  <c r="E4" i="14" l="1"/>
  <c r="F4" i="14"/>
  <c r="G4" i="14"/>
  <c r="E5" i="14"/>
  <c r="F5" i="14"/>
  <c r="G5" i="14"/>
  <c r="E6" i="14"/>
  <c r="F6" i="14"/>
  <c r="G6" i="14"/>
  <c r="E7" i="14"/>
  <c r="F7" i="14"/>
  <c r="G7" i="14"/>
  <c r="E8" i="14"/>
  <c r="F8" i="14"/>
  <c r="G8" i="14"/>
  <c r="E9" i="14"/>
  <c r="F9" i="14"/>
  <c r="G9" i="14"/>
  <c r="E10" i="14"/>
  <c r="F10" i="14"/>
  <c r="G10" i="14"/>
  <c r="E11" i="14"/>
  <c r="F11" i="14"/>
  <c r="G11" i="14"/>
  <c r="E12" i="14"/>
  <c r="F12" i="14"/>
  <c r="G12" i="14"/>
  <c r="E13" i="14"/>
  <c r="F13" i="14"/>
  <c r="G13" i="14"/>
  <c r="F3" i="14"/>
  <c r="G3" i="14"/>
  <c r="E3" i="14"/>
  <c r="C4" i="13"/>
  <c r="C5" i="13"/>
  <c r="C6" i="13"/>
  <c r="C7" i="13"/>
  <c r="C8" i="13"/>
  <c r="C9" i="13"/>
  <c r="C10" i="13"/>
  <c r="C11" i="13"/>
  <c r="C12" i="13"/>
  <c r="C13" i="13"/>
  <c r="C3" i="13"/>
  <c r="C4" i="12"/>
  <c r="C5" i="12"/>
  <c r="C6" i="12"/>
  <c r="C7" i="12"/>
  <c r="C8" i="12"/>
  <c r="C9" i="12"/>
  <c r="C10" i="12"/>
  <c r="C11" i="12"/>
  <c r="C12" i="12"/>
  <c r="C13" i="12"/>
  <c r="C3" i="12"/>
  <c r="C10" i="11" l="1"/>
  <c r="C9" i="11"/>
  <c r="C8" i="11"/>
  <c r="C7" i="11"/>
  <c r="C6" i="11"/>
  <c r="C5" i="11"/>
  <c r="C4" i="11"/>
  <c r="C3" i="11"/>
  <c r="D4" i="10"/>
  <c r="D5" i="10"/>
  <c r="D6" i="10"/>
  <c r="D7" i="10"/>
  <c r="D8" i="10"/>
  <c r="D9" i="10"/>
  <c r="D10" i="10"/>
  <c r="D3" i="10"/>
  <c r="C3" i="9"/>
  <c r="C4" i="10"/>
  <c r="C5" i="10"/>
  <c r="C6" i="10"/>
  <c r="C7" i="10"/>
  <c r="C8" i="10"/>
  <c r="C9" i="10"/>
  <c r="C10" i="10"/>
  <c r="C3" i="10"/>
  <c r="C4" i="9"/>
  <c r="C5" i="9"/>
  <c r="C6" i="9"/>
  <c r="C7" i="9"/>
  <c r="C8" i="9"/>
  <c r="C9" i="9"/>
  <c r="C10" i="9"/>
  <c r="C4" i="7" l="1"/>
  <c r="C5" i="7"/>
  <c r="C6" i="7"/>
  <c r="C7" i="7"/>
  <c r="C8" i="7"/>
  <c r="C9" i="7"/>
  <c r="C10" i="7"/>
  <c r="C11" i="7"/>
  <c r="C3" i="7"/>
  <c r="C4" i="8"/>
  <c r="D4" i="8" s="1"/>
  <c r="C5" i="8"/>
  <c r="D5" i="8"/>
  <c r="C6" i="8"/>
  <c r="D6" i="8"/>
  <c r="C7" i="8"/>
  <c r="D7" i="8"/>
  <c r="C8" i="8"/>
  <c r="D8" i="8"/>
  <c r="C9" i="8"/>
  <c r="D9" i="8"/>
  <c r="C10" i="8"/>
  <c r="D10" i="8" s="1"/>
  <c r="D3" i="8"/>
  <c r="C3" i="8"/>
  <c r="E4" i="6" l="1"/>
  <c r="E5" i="6"/>
  <c r="E6" i="6"/>
  <c r="E7" i="6"/>
  <c r="E3" i="6"/>
  <c r="F4" i="6"/>
  <c r="G4" i="6"/>
  <c r="H4" i="6"/>
  <c r="F5" i="6"/>
  <c r="G5" i="6"/>
  <c r="H5" i="6"/>
  <c r="F6" i="6"/>
  <c r="G6" i="6"/>
  <c r="H6" i="6"/>
  <c r="F7" i="6"/>
  <c r="G7" i="6"/>
  <c r="H7" i="6"/>
  <c r="H3" i="6"/>
  <c r="G3" i="6"/>
  <c r="F3" i="6"/>
  <c r="C10" i="6"/>
  <c r="D10" i="6"/>
  <c r="C11" i="6"/>
  <c r="D11" i="6"/>
  <c r="B11" i="6"/>
  <c r="B10" i="6"/>
  <c r="C9" i="6"/>
  <c r="D9" i="6"/>
  <c r="B9" i="6"/>
  <c r="C8" i="6"/>
  <c r="D8" i="6"/>
  <c r="B8" i="6"/>
  <c r="D3" i="1" l="1"/>
  <c r="D4" i="1"/>
  <c r="D5" i="1"/>
  <c r="D6" i="1"/>
  <c r="D2" i="1"/>
</calcChain>
</file>

<file path=xl/sharedStrings.xml><?xml version="1.0" encoding="utf-8"?>
<sst xmlns="http://schemas.openxmlformats.org/spreadsheetml/2006/main" count="647" uniqueCount="435">
  <si>
    <t>CADASTRO DE ALUNOS</t>
  </si>
  <si>
    <t>EXCEL</t>
  </si>
  <si>
    <t>SENAI</t>
  </si>
  <si>
    <t>SÁBADO</t>
  </si>
  <si>
    <t>COR</t>
  </si>
  <si>
    <t>CARRO</t>
  </si>
  <si>
    <t>FRUTA</t>
  </si>
  <si>
    <t>Azul</t>
  </si>
  <si>
    <t>Branco</t>
  </si>
  <si>
    <t>Preto</t>
  </si>
  <si>
    <t>Verde</t>
  </si>
  <si>
    <t>Amarelo</t>
  </si>
  <si>
    <t>Prisma</t>
  </si>
  <si>
    <t>Centra</t>
  </si>
  <si>
    <t>Pálio</t>
  </si>
  <si>
    <t>Golf</t>
  </si>
  <si>
    <t>Celta</t>
  </si>
  <si>
    <t>Maçã</t>
  </si>
  <si>
    <t>Abacate</t>
  </si>
  <si>
    <t>Banana</t>
  </si>
  <si>
    <t>Laranja</t>
  </si>
  <si>
    <t>Uva</t>
  </si>
  <si>
    <t>MÊS</t>
  </si>
  <si>
    <t>SEMANA</t>
  </si>
  <si>
    <t>Janeiro</t>
  </si>
  <si>
    <t>Domingo</t>
  </si>
  <si>
    <t>Fevereiro</t>
  </si>
  <si>
    <t>Segunda-feira</t>
  </si>
  <si>
    <t>Março</t>
  </si>
  <si>
    <t>Terça-feira</t>
  </si>
  <si>
    <t>Abril</t>
  </si>
  <si>
    <t>Quarta-feira</t>
  </si>
  <si>
    <t>Maio</t>
  </si>
  <si>
    <t>Quinta-feira</t>
  </si>
  <si>
    <t>Junho</t>
  </si>
  <si>
    <t>Sexta-feira</t>
  </si>
  <si>
    <t>Julho</t>
  </si>
  <si>
    <t>Sábado</t>
  </si>
  <si>
    <t>Agosto</t>
  </si>
  <si>
    <t>Setembro</t>
  </si>
  <si>
    <t>Outubro</t>
  </si>
  <si>
    <t>DEFINIÇÃO DE FORMATOS PERSONALIZADOS</t>
  </si>
  <si>
    <t>CÓDIGO COM 4 DÍGITOS</t>
  </si>
  <si>
    <t>CEP</t>
  </si>
  <si>
    <t>DATA ABREVIADA</t>
  </si>
  <si>
    <t>CPF</t>
  </si>
  <si>
    <t>CLASSIFICAÇÃO DE DADOS</t>
  </si>
  <si>
    <t>NOME</t>
  </si>
  <si>
    <t>CARGO</t>
  </si>
  <si>
    <t>DEPARTAMENTO</t>
  </si>
  <si>
    <t>SALÁRIO</t>
  </si>
  <si>
    <t>Administração</t>
  </si>
  <si>
    <t>Comercial</t>
  </si>
  <si>
    <t>Marketing</t>
  </si>
  <si>
    <t>Contabilidade</t>
  </si>
  <si>
    <t>Arte</t>
  </si>
  <si>
    <t>Secretária</t>
  </si>
  <si>
    <t>Auxiliar Administrativo</t>
  </si>
  <si>
    <t>Gerente de Vendas</t>
  </si>
  <si>
    <t>Promotor de Marketing</t>
  </si>
  <si>
    <t>Vendedor</t>
  </si>
  <si>
    <t>Contador</t>
  </si>
  <si>
    <t>Recepcionista</t>
  </si>
  <si>
    <t>Representante de Vendas</t>
  </si>
  <si>
    <t>Projetista</t>
  </si>
  <si>
    <t>Gerente Administrativo</t>
  </si>
  <si>
    <t>Assistente de Marketing</t>
  </si>
  <si>
    <t>Joana Ferreira</t>
  </si>
  <si>
    <t>Adriano Gomes</t>
  </si>
  <si>
    <t>Anderson Santos</t>
  </si>
  <si>
    <t>Rogério Oliveira</t>
  </si>
  <si>
    <t>Alcides Caio Barretos</t>
  </si>
  <si>
    <t>João Souza Lima</t>
  </si>
  <si>
    <t>Fabiana Venâncio</t>
  </si>
  <si>
    <t>Pedro Elder Júnior</t>
  </si>
  <si>
    <t>Andressa Fagundes</t>
  </si>
  <si>
    <t>Paulo Rosa Antunes</t>
  </si>
  <si>
    <t>Tatiana Félix</t>
  </si>
  <si>
    <t>CONTROLE DE VENDAS</t>
  </si>
  <si>
    <t>Eduarda</t>
  </si>
  <si>
    <t>Ana Luiza</t>
  </si>
  <si>
    <t>Rogério</t>
  </si>
  <si>
    <t>Henrique</t>
  </si>
  <si>
    <t>Luiz Fernando</t>
  </si>
  <si>
    <t>SOMA DO MÊS</t>
  </si>
  <si>
    <t>VALOR MÁXIMO DO MÊS</t>
  </si>
  <si>
    <t>VALOR MÍNIMO DO MÊS</t>
  </si>
  <si>
    <t>MÉDIA DE VALORES DO MÊS</t>
  </si>
  <si>
    <t>JAN</t>
  </si>
  <si>
    <t>FEV</t>
  </si>
  <si>
    <t>MAR</t>
  </si>
  <si>
    <t>SOMA DO TRIMESTRE</t>
  </si>
  <si>
    <t>VALOR MÁXIMO DO TRIMESTRE</t>
  </si>
  <si>
    <t>VALOR MÍNIMO DO TRIMESTRE</t>
  </si>
  <si>
    <t>MÉDIA DE VALORES DO TRIMESTRE</t>
  </si>
  <si>
    <t>EXEMPLO DE CÁLCULOS COM PORCENTAGEM</t>
  </si>
  <si>
    <t>VALOR PARA CÁLCULO</t>
  </si>
  <si>
    <t>PORCENTAGEM A SER CALCULADA</t>
  </si>
  <si>
    <t>RESULTADO</t>
  </si>
  <si>
    <t>CÁLCULO DE PORCENTAGEM COM ACRÉSCIMO</t>
  </si>
  <si>
    <t>VALOR DE VENDA</t>
  </si>
  <si>
    <t>% DE ACRÉSCIMO</t>
  </si>
  <si>
    <t>VALOR DE ACRÉSCIMO</t>
  </si>
  <si>
    <t>VALOR DE VENDA COM ACRÉSCIMO</t>
  </si>
  <si>
    <t>CÁLCULO DE PORCENTAGEM COM DESCONTO</t>
  </si>
  <si>
    <t>VALOR DA VENDA</t>
  </si>
  <si>
    <t>% DE DESCONTO</t>
  </si>
  <si>
    <t>VALOR DE DESCONTO</t>
  </si>
  <si>
    <t>VALOR DE VENDA COM DESCONTO</t>
  </si>
  <si>
    <t>VALOR SEM ACRÉSCIMO</t>
  </si>
  <si>
    <t>TAXA DE ACRÉSCIMO</t>
  </si>
  <si>
    <t>VALOR COM ACRÉSCIMO</t>
  </si>
  <si>
    <t>REFERÊNCIA RELATIVA</t>
  </si>
  <si>
    <t>REFERÊNCIA ABSOLUTA</t>
  </si>
  <si>
    <t>VALOR DE VENDA EM JANEIRO</t>
  </si>
  <si>
    <t>VALOR DE VENDA EM FEVEREIRO</t>
  </si>
  <si>
    <t>VALOR DE VENDA EM MARÇO</t>
  </si>
  <si>
    <t>VALOR DE VENDA COM ACRÉSCIMO EM JANEIRO</t>
  </si>
  <si>
    <t>VALOR DE VENDA COM ACRÉSCIMO EM FEVEREIRO</t>
  </si>
  <si>
    <t>VALOR DE VENDA COM ACRÉSCIMO EM MARÇO</t>
  </si>
  <si>
    <t>ORÇAMENTO DE MATERIAL DE CONSTRUÇÃO</t>
  </si>
  <si>
    <t>CÓDIGO</t>
  </si>
  <si>
    <t>MATERIAL COMPRADO</t>
  </si>
  <si>
    <t>QUANTIDADE</t>
  </si>
  <si>
    <t>PREÇO UNITÁRIO</t>
  </si>
  <si>
    <t>TOTAL DE CADA MATERIAL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</si>
  <si>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</si>
  <si>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</si>
  <si>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</si>
  <si>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</si>
  <si>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</si>
  <si>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</si>
  <si>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</si>
  <si>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</si>
  <si>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</si>
  <si>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</si>
  <si>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Cimento</t>
  </si>
  <si>
    <t>Argamassa</t>
  </si>
  <si>
    <t>Bloco</t>
  </si>
  <si>
    <t>Porta de Madeira</t>
  </si>
  <si>
    <t>Cano de PVC</t>
  </si>
  <si>
    <t>Luminárias</t>
  </si>
  <si>
    <t>Porta Camarão</t>
  </si>
  <si>
    <t>Ar Condicionado</t>
  </si>
  <si>
    <t>Lata de Tinta</t>
  </si>
  <si>
    <t>Telha Colonial</t>
  </si>
  <si>
    <t>TOTAL DO ORÇAMENTO</t>
  </si>
  <si>
    <t>SALÁRIO MENSAL</t>
  </si>
  <si>
    <t>ORÇAMENTO DOMÉSTICO</t>
  </si>
  <si>
    <t>GASTOS</t>
  </si>
  <si>
    <t>VALORES</t>
  </si>
  <si>
    <t>% CONSUMIDO POR CADA GASTO DO TOTAL DO ORÇAMENTO</t>
  </si>
  <si>
    <t>Água</t>
  </si>
  <si>
    <t>Luz</t>
  </si>
  <si>
    <t>Telefone</t>
  </si>
  <si>
    <t>Faculdade</t>
  </si>
  <si>
    <t>Alimentação</t>
  </si>
  <si>
    <t>Transporte</t>
  </si>
  <si>
    <t>Lazer</t>
  </si>
  <si>
    <t>COMPRA COM JUROS</t>
  </si>
  <si>
    <t>PRODUTO</t>
  </si>
  <si>
    <t>VALOR A VISTA</t>
  </si>
  <si>
    <t>VALOR DE JUROS</t>
  </si>
  <si>
    <t>VALOR DE VENDA COM JUROS</t>
  </si>
  <si>
    <t>JUROS</t>
  </si>
  <si>
    <t>Geladeira</t>
  </si>
  <si>
    <t>Fogão</t>
  </si>
  <si>
    <t>Microondas</t>
  </si>
  <si>
    <t>Televisão</t>
  </si>
  <si>
    <t>Computador</t>
  </si>
  <si>
    <t>NOME DO HÓSPEDE</t>
  </si>
  <si>
    <t>HOTEL JANDIRA LTDA</t>
  </si>
  <si>
    <t>DATA DE ENTRADA</t>
  </si>
  <si>
    <t>DATA DE SAÍDA</t>
  </si>
  <si>
    <t xml:space="preserve"> VALOR POR DIÁRIA</t>
  </si>
  <si>
    <t>DIAS HOSPEDADOS</t>
  </si>
  <si>
    <t>TOTAL A PAGAR PELO PERÍODO</t>
  </si>
  <si>
    <t>TOTAL DAS HOSPEDAGENS</t>
  </si>
  <si>
    <t>MÉDIA DOS VALORES DE HOSPEDAGEM</t>
  </si>
  <si>
    <t>MAIOR VALOR DE HOSPEDAGEM</t>
  </si>
  <si>
    <t>MENOR VALOR DE HOSPEDAGEM</t>
  </si>
  <si>
    <t>Alice Assunção</t>
  </si>
  <si>
    <t>Anderson Lopes</t>
  </si>
  <si>
    <t>Angela Braga</t>
  </si>
  <si>
    <t>Caique Rosa</t>
  </si>
  <si>
    <t>Fernando Alves</t>
  </si>
  <si>
    <t>João Gonçalves</t>
  </si>
  <si>
    <t>Marcelo Rocha</t>
  </si>
  <si>
    <t>Maria Santos</t>
  </si>
  <si>
    <t>Renato Dias</t>
  </si>
  <si>
    <t>Ricardo Melo</t>
  </si>
  <si>
    <t>Silvana Ferreira</t>
  </si>
  <si>
    <t>Thalita Souza</t>
  </si>
  <si>
    <t>MÊS DE CONSUMO</t>
  </si>
  <si>
    <t>CONSUMO DE KW/H</t>
  </si>
  <si>
    <t>VALOR DO KW/H</t>
  </si>
  <si>
    <t>VALOR A PAGAR</t>
  </si>
  <si>
    <t>TAXA DE ILUMINAÇÃO PÚBLICA (APLICAR A TAXA DE ACRÉSCIMO SOBRE O VALOR A PAGAR)</t>
  </si>
  <si>
    <t>CUSTO DE ENERGIA ELÉTRICA</t>
  </si>
  <si>
    <t>VALOR TOTAL DA CONTA</t>
  </si>
  <si>
    <t>TOTAL DO PEDIDO</t>
  </si>
  <si>
    <t>ICMS</t>
  </si>
  <si>
    <t>FRETE</t>
  </si>
  <si>
    <t>DESCRIÇÃO</t>
  </si>
  <si>
    <t>TOTAL</t>
  </si>
  <si>
    <t>DETALHES DO PRODUTO</t>
  </si>
  <si>
    <t>PEDIDO DE COMPRA INFOTECH</t>
  </si>
  <si>
    <t>Cidade</t>
  </si>
  <si>
    <t>Endereço</t>
  </si>
  <si>
    <t>SUBTOTAL DO PEDIDO</t>
  </si>
  <si>
    <t>Rua Antônio Queiroz Filho, 120</t>
  </si>
  <si>
    <t>São Paulo</t>
  </si>
  <si>
    <t>Teclado</t>
  </si>
  <si>
    <t>Mouse</t>
  </si>
  <si>
    <t>Caixa de Som</t>
  </si>
  <si>
    <t>Notebook</t>
  </si>
  <si>
    <t>Modem</t>
  </si>
  <si>
    <t>PARCELAS ATRASADAS</t>
  </si>
  <si>
    <t>CÓDIGO DO BOLETO</t>
  </si>
  <si>
    <t>NOME DO CLIENTE</t>
  </si>
  <si>
    <t>VALOR DO BOLETO</t>
  </si>
  <si>
    <t>% DE JUROS POR CADA DIA EM ATRASO</t>
  </si>
  <si>
    <t>DIAS EM ATRASO</t>
  </si>
  <si>
    <t>TOTAL A PAGAR</t>
  </si>
  <si>
    <t>VALOR DE JUROS (DE TODOS OS DIAS EM ATRASO)</t>
  </si>
  <si>
    <t>Maria</t>
  </si>
  <si>
    <t>Bruno</t>
  </si>
  <si>
    <t>Estevão</t>
  </si>
  <si>
    <t>Guilherme</t>
  </si>
  <si>
    <t>Pedro</t>
  </si>
  <si>
    <t>Marcelo</t>
  </si>
  <si>
    <t>Augusto</t>
  </si>
  <si>
    <t>Mauricio</t>
  </si>
  <si>
    <t>Jan</t>
  </si>
  <si>
    <t>CONTAGEM DE CÉLULAS</t>
  </si>
  <si>
    <t>Fev</t>
  </si>
  <si>
    <t>Total</t>
  </si>
  <si>
    <t>RESULTADOS</t>
  </si>
  <si>
    <t>CÉLULAS VAZIAS</t>
  </si>
  <si>
    <t>CÉLULAS PREENCHIDAS</t>
  </si>
  <si>
    <t>CÉLULAS COM NÚMEROS</t>
  </si>
  <si>
    <t>CÉLULAS COM VALORES MAIORES QUE 500</t>
  </si>
  <si>
    <t>FUNÇÕES DE CONTAR</t>
  </si>
  <si>
    <t>CONTAR NOMES</t>
  </si>
  <si>
    <t>CONTAR FRUTAS</t>
  </si>
  <si>
    <t>CONTAR NÚMEROS</t>
  </si>
  <si>
    <t>CONTAGEM DE NOMES</t>
  </si>
  <si>
    <t>CONTAGEM DE FRUTAS</t>
  </si>
  <si>
    <t>CONTAGEM DE NÚMEROS</t>
  </si>
  <si>
    <t>Ana</t>
  </si>
  <si>
    <t>João</t>
  </si>
  <si>
    <t>Marcia</t>
  </si>
  <si>
    <t>maçã</t>
  </si>
  <si>
    <t>laranja</t>
  </si>
  <si>
    <t>mamão</t>
  </si>
  <si>
    <t>&gt;5</t>
  </si>
  <si>
    <t>&lt;5</t>
  </si>
  <si>
    <t>CONTROLE DE VENDAS DE SAPATOS POR MARCA</t>
  </si>
  <si>
    <t>MARCA</t>
  </si>
  <si>
    <t>MODELO</t>
  </si>
  <si>
    <t>NÚMERO DE PARES COMPRADOS</t>
  </si>
  <si>
    <t>TOTAL A PAGAR POR MODELO</t>
  </si>
  <si>
    <t>PREÇO POR PAR</t>
  </si>
  <si>
    <t>CONTROLE POR MARCA</t>
  </si>
  <si>
    <t>QUANTIDADE DE PARES COMPRADOS POR MARCA</t>
  </si>
  <si>
    <t>TOTAL A PAGAR POR MARCA</t>
  </si>
  <si>
    <t>Azaléia</t>
  </si>
  <si>
    <t>Bibi</t>
  </si>
  <si>
    <t>Amapá</t>
  </si>
  <si>
    <t>Musa</t>
  </si>
  <si>
    <t>Dilly</t>
  </si>
  <si>
    <t>TOTAIS</t>
  </si>
  <si>
    <t>Beira Rio</t>
  </si>
  <si>
    <t>CONTROLE DE COMISSÕES</t>
  </si>
  <si>
    <t>CONTROLE DAS COMISSÕES</t>
  </si>
  <si>
    <t>VENDEDOR</t>
  </si>
  <si>
    <t>NÚMERO DE VENDAS REALIZADAS</t>
  </si>
  <si>
    <t>VALOR DA COMISSÃO</t>
  </si>
  <si>
    <t>PRODUTOS</t>
  </si>
  <si>
    <t>Paulo</t>
  </si>
  <si>
    <t>Jorge</t>
  </si>
  <si>
    <t>Antônio</t>
  </si>
  <si>
    <t>Carlos</t>
  </si>
  <si>
    <t>Monitor LED 21,5"</t>
  </si>
  <si>
    <t>Notebook core I5</t>
  </si>
  <si>
    <t>Teclado Wireless</t>
  </si>
  <si>
    <t>Multifuncional</t>
  </si>
  <si>
    <t>Impressora Laser</t>
  </si>
  <si>
    <t>Samsung</t>
  </si>
  <si>
    <t>Dell</t>
  </si>
  <si>
    <t>Microsoft</t>
  </si>
  <si>
    <t>Canon</t>
  </si>
  <si>
    <t>HP</t>
  </si>
  <si>
    <t>%(PERCENTUAL) PAGO EM COMISSÃO</t>
  </si>
  <si>
    <t>TOTAL PAGO EM COMISSÕES</t>
  </si>
  <si>
    <t>VALOR TOTAL DAS VENDAS</t>
  </si>
  <si>
    <t>CÁLCULO DA SOMA DAS VENDAS</t>
  </si>
  <si>
    <t>Lenço</t>
  </si>
  <si>
    <t>Bolsa</t>
  </si>
  <si>
    <t>Óculos</t>
  </si>
  <si>
    <t>Relógio</t>
  </si>
  <si>
    <t>Chapéu</t>
  </si>
  <si>
    <t>CÁLCULO DA MÉDIA DAS VENDAS</t>
  </si>
  <si>
    <t>SOMA DOS VALORES E MÉDIA DOS VALORES POR PRODUTOS</t>
  </si>
  <si>
    <t>Malas de Viagem</t>
  </si>
  <si>
    <t>IMOBILIÁRIA LAR IMÓVEIS</t>
  </si>
  <si>
    <t>CORRETOR</t>
  </si>
  <si>
    <t>VALOR DA VENDA REALIZADA</t>
  </si>
  <si>
    <t>% DE COMISSÃO A RECEBER</t>
  </si>
  <si>
    <t>Daniel</t>
  </si>
  <si>
    <t>Fernando</t>
  </si>
  <si>
    <t>Cláudio</t>
  </si>
  <si>
    <t>Carmem</t>
  </si>
  <si>
    <t>Angela</t>
  </si>
  <si>
    <t>Luciano</t>
  </si>
  <si>
    <t>Fernanda</t>
  </si>
  <si>
    <t>BOLETIM DATURMA DE INFORMÁTICA BÁSICA</t>
  </si>
  <si>
    <t>ALUNO</t>
  </si>
  <si>
    <t>MÉDIA FINAL</t>
  </si>
  <si>
    <t>Simone</t>
  </si>
  <si>
    <t>Caroline</t>
  </si>
  <si>
    <t>André</t>
  </si>
  <si>
    <t>Vânia</t>
  </si>
  <si>
    <t>Renata</t>
  </si>
  <si>
    <t>Vinicius</t>
  </si>
  <si>
    <t>CONTROLE DE PROFISSIONAIS CERTIFICADOS</t>
  </si>
  <si>
    <t>FUNCIONÁRIO</t>
  </si>
  <si>
    <t>FORMAÇÃO</t>
  </si>
  <si>
    <t>SITUAÇÃO</t>
  </si>
  <si>
    <t>História</t>
  </si>
  <si>
    <t>Comunicação</t>
  </si>
  <si>
    <t>Geografia</t>
  </si>
  <si>
    <t>Filosofia</t>
  </si>
  <si>
    <t>Jornalismo</t>
  </si>
  <si>
    <t>Cauã</t>
  </si>
  <si>
    <t>Kelli</t>
  </si>
  <si>
    <t>Rafael</t>
  </si>
  <si>
    <t>Manuela</t>
  </si>
  <si>
    <t>Cíntia</t>
  </si>
  <si>
    <t>Eduardo</t>
  </si>
  <si>
    <t>Rodrigo</t>
  </si>
  <si>
    <t>Tecnologia da Informação</t>
  </si>
  <si>
    <t>BUSCA POR CARGO E SALÁRIO DE FUNCIONÁRIOS</t>
  </si>
  <si>
    <t>CÓDIGO DO FUNCIONÁRIO</t>
  </si>
  <si>
    <t>NOME DO FUNCIONÁRIO</t>
  </si>
  <si>
    <t>CARGO DO FUNCIONÁRIO</t>
  </si>
  <si>
    <t>SALÁRIO DO FUNCIONÁRIO</t>
  </si>
  <si>
    <t>TABELA DE CONSULTA</t>
  </si>
  <si>
    <t>Anderson Silva</t>
  </si>
  <si>
    <t>Caique Fernandes</t>
  </si>
  <si>
    <t>Gabriel Ribeiro</t>
  </si>
  <si>
    <t>Helen Guimarães</t>
  </si>
  <si>
    <t>João de Lima</t>
  </si>
  <si>
    <t>Manoel dos Santos</t>
  </si>
  <si>
    <t>Marina Rosa</t>
  </si>
  <si>
    <t>Michele Sousa</t>
  </si>
  <si>
    <t>Rangel Russo</t>
  </si>
  <si>
    <t>Suelen Alponte</t>
  </si>
  <si>
    <t>Recepção</t>
  </si>
  <si>
    <t>Gerente</t>
  </si>
  <si>
    <t>Programador</t>
  </si>
  <si>
    <t>DATA DE NASCIMENTO</t>
  </si>
  <si>
    <t>SEXO</t>
  </si>
  <si>
    <t>ENDEREÇO</t>
  </si>
  <si>
    <t>BAIRRO</t>
  </si>
  <si>
    <t>CIDADE</t>
  </si>
  <si>
    <t>ESTADO</t>
  </si>
  <si>
    <t>F</t>
  </si>
  <si>
    <t>M</t>
  </si>
  <si>
    <t>SP</t>
  </si>
  <si>
    <t>Jandira</t>
  </si>
  <si>
    <t>Itapevi</t>
  </si>
  <si>
    <t>Osasco</t>
  </si>
  <si>
    <t>Carapícuiba</t>
  </si>
  <si>
    <t>Barueri</t>
  </si>
  <si>
    <t>Santana</t>
  </si>
  <si>
    <t>R. Antônio Castro, 12</t>
  </si>
  <si>
    <t>Rodovia Anhanguera, Km 21</t>
  </si>
  <si>
    <t>R. Tiradentes, 215</t>
  </si>
  <si>
    <t>Av. João Bosco, 415</t>
  </si>
  <si>
    <t>Av. Limeira, 36</t>
  </si>
  <si>
    <t>Alameda Silva, 89</t>
  </si>
  <si>
    <t>R. Sergipe, 1029</t>
  </si>
  <si>
    <t>R. Minas Quaresma, 58</t>
  </si>
  <si>
    <t>Av. Alcantara Silva, 445</t>
  </si>
  <si>
    <t>Rodovia Antonio Alves, Km 100</t>
  </si>
  <si>
    <t>R. Laranjeira, 150</t>
  </si>
  <si>
    <t>São Joaquim</t>
  </si>
  <si>
    <t>Centro</t>
  </si>
  <si>
    <t>Araras</t>
  </si>
  <si>
    <t>Leme</t>
  </si>
  <si>
    <t>Vila Carmen</t>
  </si>
  <si>
    <t>Fernão Dias</t>
  </si>
  <si>
    <t>Belverde</t>
  </si>
  <si>
    <t>Albosco</t>
  </si>
  <si>
    <t>Vila Germy</t>
  </si>
  <si>
    <t>São João</t>
  </si>
  <si>
    <t>Ana Paula Ragel</t>
  </si>
  <si>
    <t>Beatriz Alcântara</t>
  </si>
  <si>
    <t>Benício Gonçalves</t>
  </si>
  <si>
    <t>Cláudio Dias Venâncio</t>
  </si>
  <si>
    <t>Emerson Lourenço</t>
  </si>
  <si>
    <t>Marcos Navarro Silas</t>
  </si>
  <si>
    <t>Michele Bento Cruz</t>
  </si>
  <si>
    <t>Ricardo Sampaio</t>
  </si>
  <si>
    <t>Rosa Maria Chaves</t>
  </si>
  <si>
    <t>Ruth Celso Braga</t>
  </si>
  <si>
    <t>Thalita Verniz Teles</t>
  </si>
  <si>
    <t>Pesquisa</t>
  </si>
  <si>
    <t>Nome</t>
  </si>
  <si>
    <t>Data de Nascimento</t>
  </si>
  <si>
    <t>Sexo</t>
  </si>
  <si>
    <t>Bairro</t>
  </si>
  <si>
    <t>Estado</t>
  </si>
  <si>
    <t>Cadastro de Clientes</t>
  </si>
  <si>
    <t>REFERÊNCIA DE VALORES</t>
  </si>
  <si>
    <t>DE</t>
  </si>
  <si>
    <t>ATÉ</t>
  </si>
  <si>
    <t>CÁLCULO DE IMC</t>
  </si>
  <si>
    <t>IDADE</t>
  </si>
  <si>
    <t>PESO</t>
  </si>
  <si>
    <t>ALTURA</t>
  </si>
  <si>
    <t>IMC</t>
  </si>
  <si>
    <t>Andréia</t>
  </si>
  <si>
    <t>Jefferson</t>
  </si>
  <si>
    <t>Joel</t>
  </si>
  <si>
    <t>Keila</t>
  </si>
  <si>
    <t>Lineide</t>
  </si>
  <si>
    <t>Rodolfo</t>
  </si>
  <si>
    <t>Tamires</t>
  </si>
  <si>
    <t>Abaixo do Peso</t>
  </si>
  <si>
    <t>Normal</t>
  </si>
  <si>
    <t>Sobrepeso</t>
  </si>
  <si>
    <t>Obeso</t>
  </si>
  <si>
    <t>Obeso Grave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</si>
</sst>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[$R$-416]\ * #,##0.00_-;\-[$R$-416]\ * #,##0.00_-;_-[$R$-416]\ * &quot;-&quot;??_-;_-@_-"/>
    <numFmt numFmtId="166" formatCode="[$-F800]dddd\,\ mmmm\ dd\,\ yyyy"/>
    <numFmt numFmtId="167" formatCode="0.0000"/>
    <numFmt numFmtId="168" formatCode="000&quot;.&quot;000&quot;.&quot;000&quot;-&quot;00"/>
    <numFmt numFmtId="169" formatCode="00000&quot;-&quot;000"/>
    <numFmt numFmtId="170" formatCode="0000"/>
    <numFmt numFmtId="171" formatCode="0000&quot;-&quot;0000"/>
    <numFmt numFmtId="172" formatCode="0.0%"/>
    <numFmt numFmtId="173" formatCode="0.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2">
    <xf numFmtId="0" fontId="0" fillId="0" borderId="0" xfId="0"/>
    <xf numFmtId="164" fontId="0" fillId="0" borderId="0" xfId="0" applyNumberFormat="1"/>
    <xf numFmtId="165" fontId="0" fillId="0" borderId="0" xfId="2" applyNumberFormat="1" applyFont="1"/>
    <xf numFmtId="2" fontId="0" fillId="0" borderId="0" xfId="0" applyNumberFormat="1"/>
    <xf numFmtId="3" fontId="0" fillId="0" borderId="0" xfId="0" applyNumberFormat="1"/>
    <xf numFmtId="14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9" fontId="0" fillId="0" borderId="0" xfId="0" applyNumberFormat="1"/>
    <xf numFmtId="4" fontId="0" fillId="0" borderId="0" xfId="2" applyNumberFormat="1" applyFont="1"/>
    <xf numFmtId="0" fontId="2" fillId="2" borderId="1" xfId="0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2" applyNumberFormat="1" applyFon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0" fillId="0" borderId="2" xfId="0" applyBorder="1"/>
    <xf numFmtId="165" fontId="0" fillId="0" borderId="2" xfId="0" applyNumberFormat="1" applyBorder="1"/>
    <xf numFmtId="165" fontId="0" fillId="4" borderId="2" xfId="0" applyNumberForma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center" vertical="center" wrapText="1"/>
    </xf>
    <xf numFmtId="165" fontId="0" fillId="4" borderId="2" xfId="0" applyNumberFormat="1" applyFill="1" applyBorder="1"/>
    <xf numFmtId="0" fontId="0" fillId="3" borderId="2" xfId="0" applyFill="1" applyBorder="1" applyAlignment="1">
      <alignment horizontal="center" vertical="center" wrapText="1"/>
    </xf>
    <xf numFmtId="44" fontId="0" fillId="0" borderId="2" xfId="0" applyNumberFormat="1" applyBorder="1"/>
    <xf numFmtId="9" fontId="0" fillId="0" borderId="2" xfId="0" applyNumberFormat="1" applyBorder="1" applyAlignment="1">
      <alignment horizontal="center" vertical="center"/>
    </xf>
    <xf numFmtId="170" fontId="0" fillId="0" borderId="1" xfId="1" applyNumberFormat="1" applyFont="1" applyBorder="1" applyAlignment="1">
      <alignment horizontal="center" vertical="center"/>
    </xf>
    <xf numFmtId="170" fontId="0" fillId="0" borderId="1" xfId="0" applyNumberFormat="1" applyBorder="1" applyAlignment="1">
      <alignment horizontal="center" vertical="center"/>
    </xf>
    <xf numFmtId="0" fontId="0" fillId="0" borderId="0" xfId="0" applyAlignment="1"/>
    <xf numFmtId="44" fontId="0" fillId="0" borderId="2" xfId="2" applyFont="1" applyBorder="1" applyAlignment="1"/>
    <xf numFmtId="44" fontId="0" fillId="0" borderId="0" xfId="2" applyFont="1"/>
    <xf numFmtId="44" fontId="0" fillId="0" borderId="2" xfId="0" applyNumberFormat="1" applyBorder="1" applyAlignment="1"/>
    <xf numFmtId="44" fontId="0" fillId="0" borderId="2" xfId="2" applyFont="1" applyBorder="1" applyAlignment="1">
      <alignment vertical="center"/>
    </xf>
    <xf numFmtId="44" fontId="0" fillId="0" borderId="2" xfId="0" applyNumberFormat="1" applyBorder="1" applyAlignment="1">
      <alignment vertical="center"/>
    </xf>
    <xf numFmtId="44" fontId="0" fillId="0" borderId="0" xfId="2" applyFont="1" applyAlignment="1">
      <alignment vertical="center"/>
    </xf>
    <xf numFmtId="44" fontId="0" fillId="0" borderId="2" xfId="2" applyFont="1" applyBorder="1"/>
    <xf numFmtId="0" fontId="0" fillId="4" borderId="2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44" fontId="0" fillId="0" borderId="2" xfId="2" applyFon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44" fontId="0" fillId="0" borderId="2" xfId="0" applyNumberFormat="1" applyBorder="1" applyAlignment="1">
      <alignment horizontal="center" vertical="center"/>
    </xf>
    <xf numFmtId="44" fontId="0" fillId="4" borderId="2" xfId="2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0" fontId="0" fillId="0" borderId="2" xfId="3" applyNumberFormat="1" applyFont="1" applyBorder="1" applyAlignment="1">
      <alignment horizontal="center" vertical="center"/>
    </xf>
    <xf numFmtId="10" fontId="0" fillId="0" borderId="0" xfId="0" applyNumberFormat="1"/>
    <xf numFmtId="0" fontId="0" fillId="4" borderId="2" xfId="0" applyFill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49" fontId="0" fillId="0" borderId="2" xfId="0" applyNumberFormat="1" applyBorder="1" applyAlignment="1">
      <alignment horizontal="left" vertical="center"/>
    </xf>
    <xf numFmtId="0" fontId="0" fillId="4" borderId="2" xfId="0" applyFill="1" applyBorder="1" applyAlignment="1">
      <alignment vertical="center" wrapText="1"/>
    </xf>
    <xf numFmtId="44" fontId="0" fillId="0" borderId="3" xfId="2" applyFont="1" applyBorder="1" applyAlignment="1">
      <alignment horizontal="center" vertical="center"/>
    </xf>
    <xf numFmtId="9" fontId="0" fillId="0" borderId="2" xfId="3" applyFont="1" applyBorder="1" applyAlignment="1">
      <alignment horizontal="center" vertical="center"/>
    </xf>
    <xf numFmtId="9" fontId="0" fillId="0" borderId="2" xfId="3" applyNumberFormat="1" applyFont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  <xf numFmtId="49" fontId="0" fillId="0" borderId="2" xfId="0" applyNumberFormat="1" applyBorder="1" applyAlignment="1">
      <alignment vertical="center"/>
    </xf>
    <xf numFmtId="0" fontId="0" fillId="4" borderId="0" xfId="0" applyFill="1" applyAlignment="1">
      <alignment horizontal="center" vertical="center"/>
    </xf>
    <xf numFmtId="0" fontId="2" fillId="4" borderId="2" xfId="0" applyFont="1" applyFill="1" applyBorder="1" applyAlignment="1">
      <alignment horizontal="left" vertical="center"/>
    </xf>
    <xf numFmtId="44" fontId="0" fillId="0" borderId="2" xfId="2" applyFont="1" applyBorder="1" applyAlignment="1">
      <alignment horizontal="left" vertical="center"/>
    </xf>
    <xf numFmtId="0" fontId="0" fillId="4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0" borderId="2" xfId="2" applyNumberFormat="1" applyFont="1" applyBorder="1" applyAlignment="1">
      <alignment horizontal="center" vertical="center"/>
    </xf>
    <xf numFmtId="0" fontId="0" fillId="5" borderId="2" xfId="0" applyFill="1" applyBorder="1" applyAlignment="1">
      <alignment horizontal="left" vertical="center"/>
    </xf>
    <xf numFmtId="44" fontId="0" fillId="5" borderId="2" xfId="2" applyFont="1" applyFill="1" applyBorder="1" applyAlignment="1">
      <alignment horizontal="center" vertical="center"/>
    </xf>
    <xf numFmtId="44" fontId="0" fillId="0" borderId="2" xfId="2" applyNumberFormat="1" applyFont="1" applyBorder="1"/>
    <xf numFmtId="172" fontId="0" fillId="0" borderId="2" xfId="3" applyNumberFormat="1" applyFont="1" applyBorder="1"/>
    <xf numFmtId="0" fontId="0" fillId="4" borderId="2" xfId="0" applyFill="1" applyBorder="1" applyAlignment="1">
      <alignment horizontal="center" vertical="center" wrapText="1"/>
    </xf>
    <xf numFmtId="173" fontId="0" fillId="0" borderId="2" xfId="0" applyNumberFormat="1" applyBorder="1" applyAlignment="1">
      <alignment horizontal="center" vertical="center"/>
    </xf>
    <xf numFmtId="44" fontId="0" fillId="0" borderId="7" xfId="2" applyFont="1" applyFill="1" applyBorder="1" applyAlignment="1">
      <alignment vertical="center"/>
    </xf>
    <xf numFmtId="44" fontId="0" fillId="0" borderId="7" xfId="2" applyFont="1" applyFill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169" fontId="0" fillId="0" borderId="2" xfId="0" applyNumberFormat="1" applyBorder="1" applyAlignment="1">
      <alignment horizontal="center" vertical="center" wrapText="1"/>
    </xf>
    <xf numFmtId="0" fontId="2" fillId="5" borderId="2" xfId="0" applyFont="1" applyFill="1" applyBorder="1"/>
    <xf numFmtId="0" fontId="2" fillId="5" borderId="8" xfId="0" applyFont="1" applyFill="1" applyBorder="1" applyAlignment="1">
      <alignment vertical="center" wrapText="1"/>
    </xf>
    <xf numFmtId="0" fontId="0" fillId="5" borderId="8" xfId="0" applyFill="1" applyBorder="1" applyAlignment="1">
      <alignment horizontal="center" vertical="center" wrapText="1"/>
    </xf>
    <xf numFmtId="0" fontId="0" fillId="5" borderId="8" xfId="0" applyFill="1" applyBorder="1" applyAlignment="1">
      <alignment horizontal="left" vertical="center"/>
    </xf>
    <xf numFmtId="14" fontId="0" fillId="5" borderId="8" xfId="0" applyNumberFormat="1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169" fontId="0" fillId="5" borderId="8" xfId="0" applyNumberFormat="1" applyFill="1" applyBorder="1" applyAlignment="1">
      <alignment horizontal="center" vertical="center"/>
    </xf>
    <xf numFmtId="0" fontId="0" fillId="5" borderId="8" xfId="0" applyFill="1" applyBorder="1"/>
    <xf numFmtId="0" fontId="2" fillId="5" borderId="8" xfId="0" applyFont="1" applyFill="1" applyBorder="1" applyAlignment="1"/>
    <xf numFmtId="0" fontId="2" fillId="5" borderId="8" xfId="0" applyFont="1" applyFill="1" applyBorder="1"/>
    <xf numFmtId="0" fontId="0" fillId="0" borderId="8" xfId="0" applyBorder="1"/>
    <xf numFmtId="14" fontId="0" fillId="5" borderId="8" xfId="0" applyNumberFormat="1" applyFill="1" applyBorder="1" applyAlignment="1"/>
    <xf numFmtId="169" fontId="0" fillId="5" borderId="8" xfId="0" applyNumberFormat="1" applyFill="1" applyBorder="1" applyAlignment="1"/>
    <xf numFmtId="0" fontId="0" fillId="5" borderId="8" xfId="0" applyFill="1" applyBorder="1" applyAlignme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 textRotation="90"/>
    </xf>
    <xf numFmtId="0" fontId="0" fillId="0" borderId="0" xfId="0" applyAlignment="1">
      <alignment horizontal="center" vertical="center" textRotation="45"/>
    </xf>
    <xf numFmtId="0" fontId="2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49" fontId="0" fillId="0" borderId="3" xfId="0" applyNumberFormat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 vertical="center" wrapText="1"/>
    </xf>
    <xf numFmtId="49" fontId="0" fillId="0" borderId="5" xfId="0" applyNumberFormat="1" applyBorder="1" applyAlignment="1">
      <alignment horizontal="center" vertical="center" wrapText="1"/>
    </xf>
    <xf numFmtId="169" fontId="0" fillId="0" borderId="3" xfId="0" applyNumberFormat="1" applyBorder="1" applyAlignment="1">
      <alignment horizontal="center" vertical="center" wrapText="1"/>
    </xf>
    <xf numFmtId="169" fontId="0" fillId="0" borderId="4" xfId="0" applyNumberFormat="1" applyBorder="1" applyAlignment="1">
      <alignment horizontal="center" vertical="center" wrapText="1"/>
    </xf>
    <xf numFmtId="169" fontId="0" fillId="0" borderId="5" xfId="0" applyNumberFormat="1" applyBorder="1" applyAlignment="1">
      <alignment horizontal="center" vertical="center" wrapText="1"/>
    </xf>
    <xf numFmtId="171" fontId="0" fillId="0" borderId="3" xfId="0" applyNumberFormat="1" applyBorder="1" applyAlignment="1">
      <alignment horizontal="center" vertical="center" wrapText="1"/>
    </xf>
    <xf numFmtId="171" fontId="0" fillId="0" borderId="4" xfId="0" applyNumberFormat="1" applyBorder="1" applyAlignment="1">
      <alignment horizontal="center" vertical="center" wrapText="1"/>
    </xf>
    <xf numFmtId="171" fontId="0" fillId="0" borderId="5" xfId="0" applyNumberFormat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14" fontId="0" fillId="5" borderId="2" xfId="0" applyNumberFormat="1" applyFill="1" applyBorder="1" applyAlignment="1">
      <alignment horizontal="center"/>
    </xf>
    <xf numFmtId="169" fontId="0" fillId="5" borderId="2" xfId="0" applyNumberForma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</cellXfs>
  <cellStyles count="4">
    <cellStyle name="Moeda" xfId="2" builtinId="4"/>
    <cellStyle name="Normal" xfId="0" builtinId="0"/>
    <cellStyle name="Porcentagem" xfId="3" builtinId="5"/>
    <cellStyle name="Vírgula" xfId="1" builtinId="3"/>
  </cellStyles>
  <dxfs count="5">
    <dxf>
      <font>
        <b/>
        <i val="0"/>
        <color theme="9" tint="-0.499984740745262"/>
      </font>
      <fill>
        <patternFill>
          <bgColor theme="9" tint="0.79998168889431442"/>
        </patternFill>
      </fill>
      <border>
        <vertical/>
        <horizontal/>
      </border>
    </dxf>
    <dxf>
      <font>
        <b/>
        <i val="0"/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10DB8-8BF6-4AD4-92F9-82E65BEF301B}">
  <dimension ref="A1:D7"/>
  <sheetViews>
    <sheetView workbookViewId="0">
      <selection activeCell="B9" sqref="B9"/>
    </sheetView>
  </sheetViews>
  <sheetFormatPr defaultRowHeight="15" x14ac:dyDescent="0.25"/>
  <cols>
    <col min="3" max="3" width="16.85546875" customWidth="1"/>
    <col min="4" max="4" width="27.28515625" customWidth="1"/>
  </cols>
  <sheetData>
    <row r="1" spans="1:4" x14ac:dyDescent="0.25">
      <c r="A1" s="90" t="s">
        <v>0</v>
      </c>
      <c r="B1" s="90"/>
      <c r="C1" s="90"/>
      <c r="D1" s="90"/>
    </row>
    <row r="2" spans="1:4" x14ac:dyDescent="0.25">
      <c r="A2" s="91" t="s">
        <v>1</v>
      </c>
      <c r="B2" s="92" t="s">
        <v>2</v>
      </c>
      <c r="C2" s="2">
        <v>23</v>
      </c>
      <c r="D2" s="1">
        <f>C2</f>
        <v>23</v>
      </c>
    </row>
    <row r="3" spans="1:4" x14ac:dyDescent="0.25">
      <c r="A3" s="91"/>
      <c r="B3" s="92"/>
      <c r="C3" s="3">
        <v>0.1</v>
      </c>
      <c r="D3" s="10">
        <f t="shared" ref="D3:D6" si="0">C3</f>
        <v>0.1</v>
      </c>
    </row>
    <row r="4" spans="1:4" x14ac:dyDescent="0.25">
      <c r="A4" s="91"/>
      <c r="B4" s="92"/>
      <c r="C4">
        <v>2.58</v>
      </c>
      <c r="D4" s="9">
        <f t="shared" si="0"/>
        <v>2.58</v>
      </c>
    </row>
    <row r="5" spans="1:4" x14ac:dyDescent="0.25">
      <c r="A5" s="91"/>
      <c r="B5" s="92"/>
      <c r="C5" s="4">
        <v>1000</v>
      </c>
      <c r="D5" s="11">
        <f t="shared" si="0"/>
        <v>1000</v>
      </c>
    </row>
    <row r="6" spans="1:4" x14ac:dyDescent="0.25">
      <c r="A6" s="91"/>
      <c r="B6" s="92"/>
      <c r="C6" s="5">
        <v>42567</v>
      </c>
      <c r="D6" s="8">
        <f t="shared" si="0"/>
        <v>42567</v>
      </c>
    </row>
    <row r="7" spans="1:4" ht="30" x14ac:dyDescent="0.25">
      <c r="A7" s="91"/>
      <c r="B7" s="92"/>
      <c r="C7" s="6" t="s">
        <v>0</v>
      </c>
      <c r="D7" s="7" t="s">
        <v>3</v>
      </c>
    </row>
  </sheetData>
  <mergeCells count="3">
    <mergeCell ref="A1:D1"/>
    <mergeCell ref="A2:A7"/>
    <mergeCell ref="B2:B7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CC2B0-9ED6-4BF3-B312-FF0636BAB527}">
  <dimension ref="A1:F11"/>
  <sheetViews>
    <sheetView workbookViewId="0">
      <selection activeCell="B9" sqref="B9"/>
    </sheetView>
  </sheetViews>
  <sheetFormatPr defaultRowHeight="15" x14ac:dyDescent="0.25"/>
  <cols>
    <col min="5" max="6" width="18.28515625" customWidth="1"/>
  </cols>
  <sheetData>
    <row r="1" spans="1:6" x14ac:dyDescent="0.25">
      <c r="A1" s="7" t="s">
        <v>4</v>
      </c>
      <c r="B1" s="7" t="s">
        <v>5</v>
      </c>
      <c r="C1" s="7" t="s">
        <v>6</v>
      </c>
      <c r="E1" s="7" t="s">
        <v>22</v>
      </c>
      <c r="F1" s="7" t="s">
        <v>23</v>
      </c>
    </row>
    <row r="2" spans="1:6" x14ac:dyDescent="0.25">
      <c r="A2" s="7" t="s">
        <v>7</v>
      </c>
      <c r="B2" s="7" t="s">
        <v>12</v>
      </c>
      <c r="C2" s="7" t="s">
        <v>17</v>
      </c>
      <c r="E2" s="7" t="s">
        <v>24</v>
      </c>
      <c r="F2" s="7" t="s">
        <v>25</v>
      </c>
    </row>
    <row r="3" spans="1:6" x14ac:dyDescent="0.25">
      <c r="A3" s="7" t="s">
        <v>8</v>
      </c>
      <c r="B3" s="7" t="s">
        <v>13</v>
      </c>
      <c r="C3" s="7" t="s">
        <v>18</v>
      </c>
      <c r="E3" s="7" t="s">
        <v>26</v>
      </c>
      <c r="F3" s="7" t="s">
        <v>27</v>
      </c>
    </row>
    <row r="4" spans="1:6" x14ac:dyDescent="0.25">
      <c r="A4" s="7" t="s">
        <v>9</v>
      </c>
      <c r="B4" s="7" t="s">
        <v>14</v>
      </c>
      <c r="C4" s="7" t="s">
        <v>19</v>
      </c>
      <c r="E4" s="7" t="s">
        <v>28</v>
      </c>
      <c r="F4" s="7" t="s">
        <v>29</v>
      </c>
    </row>
    <row r="5" spans="1:6" x14ac:dyDescent="0.25">
      <c r="A5" s="7" t="s">
        <v>10</v>
      </c>
      <c r="B5" s="7" t="s">
        <v>15</v>
      </c>
      <c r="C5" s="7" t="s">
        <v>20</v>
      </c>
      <c r="E5" s="7" t="s">
        <v>30</v>
      </c>
      <c r="F5" s="7" t="s">
        <v>31</v>
      </c>
    </row>
    <row r="6" spans="1:6" x14ac:dyDescent="0.25">
      <c r="A6" s="7" t="s">
        <v>11</v>
      </c>
      <c r="B6" s="7" t="s">
        <v>16</v>
      </c>
      <c r="C6" s="7" t="s">
        <v>21</v>
      </c>
      <c r="E6" s="7" t="s">
        <v>32</v>
      </c>
      <c r="F6" s="7" t="s">
        <v>33</v>
      </c>
    </row>
    <row r="7" spans="1:6" x14ac:dyDescent="0.25">
      <c r="A7" s="7" t="s">
        <v>7</v>
      </c>
      <c r="B7" s="7" t="s">
        <v>12</v>
      </c>
      <c r="C7" s="7" t="s">
        <v>17</v>
      </c>
      <c r="E7" s="7" t="s">
        <v>34</v>
      </c>
      <c r="F7" s="7" t="s">
        <v>35</v>
      </c>
    </row>
    <row r="8" spans="1:6" x14ac:dyDescent="0.25">
      <c r="A8" s="7" t="s">
        <v>8</v>
      </c>
      <c r="B8" s="7" t="s">
        <v>13</v>
      </c>
      <c r="C8" s="7" t="s">
        <v>18</v>
      </c>
      <c r="E8" s="7" t="s">
        <v>36</v>
      </c>
      <c r="F8" s="7" t="s">
        <v>37</v>
      </c>
    </row>
    <row r="9" spans="1:6" x14ac:dyDescent="0.25">
      <c r="A9" s="7" t="s">
        <v>9</v>
      </c>
      <c r="B9" s="7" t="s">
        <v>14</v>
      </c>
      <c r="C9" s="7" t="s">
        <v>19</v>
      </c>
      <c r="E9" s="7" t="s">
        <v>38</v>
      </c>
      <c r="F9" s="7" t="s">
        <v>25</v>
      </c>
    </row>
    <row r="10" spans="1:6" x14ac:dyDescent="0.25">
      <c r="A10" s="7" t="s">
        <v>10</v>
      </c>
      <c r="B10" s="7" t="s">
        <v>15</v>
      </c>
      <c r="C10" s="7" t="s">
        <v>20</v>
      </c>
      <c r="E10" s="7" t="s">
        <v>39</v>
      </c>
      <c r="F10" s="7" t="s">
        <v>27</v>
      </c>
    </row>
    <row r="11" spans="1:6" x14ac:dyDescent="0.25">
      <c r="A11" s="7" t="s">
        <v>11</v>
      </c>
      <c r="B11" s="7" t="s">
        <v>16</v>
      </c>
      <c r="C11" s="7" t="s">
        <v>21</v>
      </c>
      <c r="E11" s="7" t="s">
        <v>40</v>
      </c>
      <c r="F11" s="7" t="s">
        <v>29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D2B02-3BF5-4230-A3BE-033FEB224CD4}">
  <dimension ref="A1:D7"/>
  <sheetViews>
    <sheetView workbookViewId="0">
      <selection activeCell="B9" sqref="B9"/>
    </sheetView>
  </sheetViews>
  <sheetFormatPr defaultRowHeight="15" x14ac:dyDescent="0.25"/>
  <cols>
    <col min="1" max="4" width="18.28515625" customWidth="1"/>
  </cols>
  <sheetData>
    <row r="1" spans="1:4" x14ac:dyDescent="0.25">
      <c r="A1" s="93" t="s">
        <v>41</v>
      </c>
      <c r="B1" s="93"/>
      <c r="C1" s="93"/>
      <c r="D1" s="93"/>
    </row>
    <row r="2" spans="1:4" ht="30" x14ac:dyDescent="0.25">
      <c r="A2" s="12" t="s">
        <v>42</v>
      </c>
      <c r="B2" s="12" t="s">
        <v>43</v>
      </c>
      <c r="C2" s="12" t="s">
        <v>44</v>
      </c>
      <c r="D2" s="12" t="s">
        <v>45</v>
      </c>
    </row>
    <row r="3" spans="1:4" x14ac:dyDescent="0.25">
      <c r="A3" s="28">
        <v>19</v>
      </c>
      <c r="B3" s="18">
        <v>5183460</v>
      </c>
      <c r="C3" s="13">
        <v>43587</v>
      </c>
      <c r="D3" s="17">
        <v>37498513547</v>
      </c>
    </row>
    <row r="4" spans="1:4" x14ac:dyDescent="0.25">
      <c r="A4" s="29">
        <v>23</v>
      </c>
      <c r="B4" s="18">
        <v>1986547</v>
      </c>
      <c r="C4" s="13">
        <v>44442</v>
      </c>
      <c r="D4" s="17">
        <v>2184521576</v>
      </c>
    </row>
    <row r="5" spans="1:4" x14ac:dyDescent="0.25">
      <c r="A5" s="29">
        <v>845</v>
      </c>
      <c r="B5" s="18">
        <v>4125687</v>
      </c>
      <c r="C5" s="13">
        <v>30502</v>
      </c>
      <c r="D5" s="17">
        <v>30349821576</v>
      </c>
    </row>
    <row r="6" spans="1:4" x14ac:dyDescent="0.25">
      <c r="A6" s="29">
        <v>1249</v>
      </c>
      <c r="B6" s="18">
        <v>4495321</v>
      </c>
      <c r="C6" s="13">
        <v>45937</v>
      </c>
      <c r="D6" s="17">
        <v>20049851583</v>
      </c>
    </row>
    <row r="7" spans="1:4" x14ac:dyDescent="0.25">
      <c r="A7" s="29">
        <v>30</v>
      </c>
      <c r="B7" s="18">
        <v>17848663</v>
      </c>
      <c r="C7" s="13">
        <v>36586</v>
      </c>
      <c r="D7" s="17">
        <v>55498702154</v>
      </c>
    </row>
  </sheetData>
  <mergeCells count="1">
    <mergeCell ref="A1:D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A4B68-0078-4808-BD53-5631F247E162}">
  <dimension ref="A1:D13"/>
  <sheetViews>
    <sheetView workbookViewId="0">
      <selection activeCell="B9" sqref="B9"/>
    </sheetView>
  </sheetViews>
  <sheetFormatPr defaultRowHeight="15" x14ac:dyDescent="0.25"/>
  <cols>
    <col min="1" max="1" width="22.85546875" customWidth="1"/>
    <col min="2" max="2" width="27.42578125" customWidth="1"/>
    <col min="3" max="4" width="18.28515625" customWidth="1"/>
  </cols>
  <sheetData>
    <row r="1" spans="1:4" x14ac:dyDescent="0.25">
      <c r="A1" s="94" t="s">
        <v>46</v>
      </c>
      <c r="B1" s="94"/>
      <c r="C1" s="94"/>
      <c r="D1" s="94"/>
    </row>
    <row r="2" spans="1:4" x14ac:dyDescent="0.25">
      <c r="A2" s="14" t="s">
        <v>47</v>
      </c>
      <c r="B2" s="14" t="s">
        <v>48</v>
      </c>
      <c r="C2" s="14" t="s">
        <v>49</v>
      </c>
      <c r="D2" s="14" t="s">
        <v>50</v>
      </c>
    </row>
    <row r="3" spans="1:4" x14ac:dyDescent="0.25">
      <c r="A3" s="15" t="s">
        <v>68</v>
      </c>
      <c r="B3" s="15" t="s">
        <v>57</v>
      </c>
      <c r="C3" s="15" t="s">
        <v>51</v>
      </c>
      <c r="D3" s="16">
        <v>1850</v>
      </c>
    </row>
    <row r="4" spans="1:4" x14ac:dyDescent="0.25">
      <c r="A4" s="15" t="s">
        <v>71</v>
      </c>
      <c r="B4" s="15" t="s">
        <v>60</v>
      </c>
      <c r="C4" s="15" t="s">
        <v>52</v>
      </c>
      <c r="D4" s="16">
        <v>2100</v>
      </c>
    </row>
    <row r="5" spans="1:4" x14ac:dyDescent="0.25">
      <c r="A5" s="15" t="s">
        <v>69</v>
      </c>
      <c r="B5" s="15" t="s">
        <v>58</v>
      </c>
      <c r="C5" s="15" t="s">
        <v>52</v>
      </c>
      <c r="D5" s="16">
        <v>4500</v>
      </c>
    </row>
    <row r="6" spans="1:4" x14ac:dyDescent="0.25">
      <c r="A6" s="15" t="s">
        <v>75</v>
      </c>
      <c r="B6" s="15" t="s">
        <v>64</v>
      </c>
      <c r="C6" s="15" t="s">
        <v>55</v>
      </c>
      <c r="D6" s="16">
        <v>3100</v>
      </c>
    </row>
    <row r="7" spans="1:4" x14ac:dyDescent="0.25">
      <c r="A7" s="15" t="s">
        <v>73</v>
      </c>
      <c r="B7" s="15" t="s">
        <v>62</v>
      </c>
      <c r="C7" s="15" t="s">
        <v>51</v>
      </c>
      <c r="D7" s="16">
        <v>1600</v>
      </c>
    </row>
    <row r="8" spans="1:4" x14ac:dyDescent="0.25">
      <c r="A8" s="15" t="s">
        <v>67</v>
      </c>
      <c r="B8" s="15" t="s">
        <v>56</v>
      </c>
      <c r="C8" s="15" t="s">
        <v>51</v>
      </c>
      <c r="D8" s="16">
        <v>2200</v>
      </c>
    </row>
    <row r="9" spans="1:4" x14ac:dyDescent="0.25">
      <c r="A9" s="15" t="s">
        <v>72</v>
      </c>
      <c r="B9" s="15" t="s">
        <v>61</v>
      </c>
      <c r="C9" s="15" t="s">
        <v>54</v>
      </c>
      <c r="D9" s="16">
        <v>3680</v>
      </c>
    </row>
    <row r="10" spans="1:4" x14ac:dyDescent="0.25">
      <c r="A10" s="15" t="s">
        <v>76</v>
      </c>
      <c r="B10" s="15" t="s">
        <v>65</v>
      </c>
      <c r="C10" s="15" t="s">
        <v>51</v>
      </c>
      <c r="D10" s="16">
        <v>4750</v>
      </c>
    </row>
    <row r="11" spans="1:4" x14ac:dyDescent="0.25">
      <c r="A11" s="15" t="s">
        <v>74</v>
      </c>
      <c r="B11" s="15" t="s">
        <v>63</v>
      </c>
      <c r="C11" s="15" t="s">
        <v>52</v>
      </c>
      <c r="D11" s="16">
        <v>1500</v>
      </c>
    </row>
    <row r="12" spans="1:4" x14ac:dyDescent="0.25">
      <c r="A12" s="15" t="s">
        <v>70</v>
      </c>
      <c r="B12" s="15" t="s">
        <v>59</v>
      </c>
      <c r="C12" s="15" t="s">
        <v>53</v>
      </c>
      <c r="D12" s="16">
        <v>3800</v>
      </c>
    </row>
    <row r="13" spans="1:4" x14ac:dyDescent="0.25">
      <c r="A13" s="15" t="s">
        <v>77</v>
      </c>
      <c r="B13" s="15" t="s">
        <v>66</v>
      </c>
      <c r="C13" s="15" t="s">
        <v>53</v>
      </c>
      <c r="D13" s="16">
        <v>1910</v>
      </c>
    </row>
  </sheetData>
  <sortState ref="A3:D13">
    <sortCondition ref="A3"/>
  </sortState>
  <mergeCells count="1">
    <mergeCell ref="A1:D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4703D-800B-4AAF-8106-183BE170F6D6}">
  <dimension ref="A1:H11"/>
  <sheetViews>
    <sheetView workbookViewId="0">
      <selection activeCell="B9" sqref="B9"/>
    </sheetView>
  </sheetViews>
  <sheetFormatPr defaultRowHeight="15" x14ac:dyDescent="0.25"/>
  <cols>
    <col min="1" max="1" width="27.42578125" customWidth="1"/>
    <col min="2" max="4" width="13.7109375" customWidth="1"/>
    <col min="5" max="5" width="18.28515625" customWidth="1"/>
    <col min="6" max="8" width="22.85546875" customWidth="1"/>
  </cols>
  <sheetData>
    <row r="1" spans="1:8" x14ac:dyDescent="0.25">
      <c r="A1" s="95" t="s">
        <v>78</v>
      </c>
      <c r="B1" s="95"/>
      <c r="C1" s="95"/>
      <c r="D1" s="95"/>
      <c r="E1" s="95"/>
      <c r="F1" s="95"/>
      <c r="G1" s="95"/>
      <c r="H1" s="95"/>
    </row>
    <row r="2" spans="1:8" ht="30" x14ac:dyDescent="0.25">
      <c r="A2" s="23" t="s">
        <v>60</v>
      </c>
      <c r="B2" s="23" t="s">
        <v>88</v>
      </c>
      <c r="C2" s="23" t="s">
        <v>89</v>
      </c>
      <c r="D2" s="23" t="s">
        <v>90</v>
      </c>
      <c r="E2" s="23" t="s">
        <v>91</v>
      </c>
      <c r="F2" s="23" t="s">
        <v>92</v>
      </c>
      <c r="G2" s="23" t="s">
        <v>93</v>
      </c>
      <c r="H2" s="23" t="s">
        <v>94</v>
      </c>
    </row>
    <row r="3" spans="1:8" x14ac:dyDescent="0.25">
      <c r="A3" s="19" t="s">
        <v>79</v>
      </c>
      <c r="B3" s="20">
        <v>10200</v>
      </c>
      <c r="C3" s="20">
        <v>12400</v>
      </c>
      <c r="D3" s="20">
        <v>15800</v>
      </c>
      <c r="E3" s="24">
        <f>SUM(B3:D3)</f>
        <v>38400</v>
      </c>
      <c r="F3" s="24">
        <f>MAX(B3:D3)</f>
        <v>15800</v>
      </c>
      <c r="G3" s="24">
        <f>MIN(B3:D3)</f>
        <v>10200</v>
      </c>
      <c r="H3" s="24">
        <f>AVERAGE(B3:D3)</f>
        <v>12800</v>
      </c>
    </row>
    <row r="4" spans="1:8" x14ac:dyDescent="0.25">
      <c r="A4" s="19" t="s">
        <v>80</v>
      </c>
      <c r="B4" s="20">
        <v>11800</v>
      </c>
      <c r="C4" s="20">
        <v>13700</v>
      </c>
      <c r="D4" s="20">
        <v>16950</v>
      </c>
      <c r="E4" s="24">
        <f t="shared" ref="E4:E7" si="0">SUM(B4:D4)</f>
        <v>42450</v>
      </c>
      <c r="F4" s="24">
        <f t="shared" ref="F4:F7" si="1">MAX(B4:D4)</f>
        <v>16950</v>
      </c>
      <c r="G4" s="24">
        <f t="shared" ref="G4:G7" si="2">MIN(B4:D4)</f>
        <v>11800</v>
      </c>
      <c r="H4" s="24">
        <f t="shared" ref="H4:H7" si="3">AVERAGE(B4:D4)</f>
        <v>14150</v>
      </c>
    </row>
    <row r="5" spans="1:8" x14ac:dyDescent="0.25">
      <c r="A5" s="19" t="s">
        <v>81</v>
      </c>
      <c r="B5" s="20">
        <v>12750</v>
      </c>
      <c r="C5" s="20">
        <v>14920</v>
      </c>
      <c r="D5" s="20">
        <v>17850</v>
      </c>
      <c r="E5" s="24">
        <f t="shared" si="0"/>
        <v>45520</v>
      </c>
      <c r="F5" s="24">
        <f t="shared" si="1"/>
        <v>17850</v>
      </c>
      <c r="G5" s="24">
        <f t="shared" si="2"/>
        <v>12750</v>
      </c>
      <c r="H5" s="24">
        <f t="shared" si="3"/>
        <v>15173.333333333334</v>
      </c>
    </row>
    <row r="6" spans="1:8" x14ac:dyDescent="0.25">
      <c r="A6" s="19" t="s">
        <v>82</v>
      </c>
      <c r="B6" s="20">
        <v>13120</v>
      </c>
      <c r="C6" s="20">
        <v>15850</v>
      </c>
      <c r="D6" s="20">
        <v>18450</v>
      </c>
      <c r="E6" s="24">
        <f t="shared" si="0"/>
        <v>47420</v>
      </c>
      <c r="F6" s="24">
        <f t="shared" si="1"/>
        <v>18450</v>
      </c>
      <c r="G6" s="24">
        <f t="shared" si="2"/>
        <v>13120</v>
      </c>
      <c r="H6" s="24">
        <f t="shared" si="3"/>
        <v>15806.666666666666</v>
      </c>
    </row>
    <row r="7" spans="1:8" x14ac:dyDescent="0.25">
      <c r="A7" s="19" t="s">
        <v>83</v>
      </c>
      <c r="B7" s="20">
        <v>14520</v>
      </c>
      <c r="C7" s="20">
        <v>16450</v>
      </c>
      <c r="D7" s="20">
        <v>19200</v>
      </c>
      <c r="E7" s="24">
        <f t="shared" si="0"/>
        <v>50170</v>
      </c>
      <c r="F7" s="24">
        <f t="shared" si="1"/>
        <v>19200</v>
      </c>
      <c r="G7" s="24">
        <f t="shared" si="2"/>
        <v>14520</v>
      </c>
      <c r="H7" s="24">
        <f t="shared" si="3"/>
        <v>16723.333333333332</v>
      </c>
    </row>
    <row r="8" spans="1:8" x14ac:dyDescent="0.25">
      <c r="A8" s="22" t="s">
        <v>84</v>
      </c>
      <c r="B8" s="21">
        <f>SUM(B3:B7)</f>
        <v>62390</v>
      </c>
      <c r="C8" s="21">
        <f t="shared" ref="C8:D8" si="4">SUM(C3:C7)</f>
        <v>73320</v>
      </c>
      <c r="D8" s="21">
        <f t="shared" si="4"/>
        <v>88250</v>
      </c>
    </row>
    <row r="9" spans="1:8" x14ac:dyDescent="0.25">
      <c r="A9" s="22" t="s">
        <v>85</v>
      </c>
      <c r="B9" s="21">
        <f>MAX(B3:B7)</f>
        <v>14520</v>
      </c>
      <c r="C9" s="21">
        <f t="shared" ref="C9:D9" si="5">MAX(C3:C7)</f>
        <v>16450</v>
      </c>
      <c r="D9" s="21">
        <f t="shared" si="5"/>
        <v>19200</v>
      </c>
    </row>
    <row r="10" spans="1:8" x14ac:dyDescent="0.25">
      <c r="A10" s="22" t="s">
        <v>86</v>
      </c>
      <c r="B10" s="21">
        <f>MIN(B3:B7)</f>
        <v>10200</v>
      </c>
      <c r="C10" s="21">
        <f t="shared" ref="C10:D10" si="6">MIN(C3:C7)</f>
        <v>12400</v>
      </c>
      <c r="D10" s="21">
        <f t="shared" si="6"/>
        <v>15800</v>
      </c>
    </row>
    <row r="11" spans="1:8" x14ac:dyDescent="0.25">
      <c r="A11" s="22" t="s">
        <v>87</v>
      </c>
      <c r="B11" s="21">
        <f>AVERAGE(B3:B7)</f>
        <v>12478</v>
      </c>
      <c r="C11" s="21">
        <f t="shared" ref="C11:D11" si="7">AVERAGE(C3:C7)</f>
        <v>14664</v>
      </c>
      <c r="D11" s="21">
        <f t="shared" si="7"/>
        <v>17650</v>
      </c>
    </row>
  </sheetData>
  <mergeCells count="1">
    <mergeCell ref="A1:H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FCA84-D217-44B6-9336-DB4627CA9D97}">
  <dimension ref="A1:C11"/>
  <sheetViews>
    <sheetView workbookViewId="0">
      <selection activeCell="B9" sqref="B9"/>
    </sheetView>
  </sheetViews>
  <sheetFormatPr defaultRowHeight="15" x14ac:dyDescent="0.25"/>
  <cols>
    <col min="1" max="3" width="18.28515625" customWidth="1"/>
  </cols>
  <sheetData>
    <row r="1" spans="1:3" x14ac:dyDescent="0.25">
      <c r="A1" s="96" t="s">
        <v>95</v>
      </c>
      <c r="B1" s="96"/>
      <c r="C1" s="96"/>
    </row>
    <row r="2" spans="1:3" ht="30" x14ac:dyDescent="0.25">
      <c r="A2" s="25" t="s">
        <v>96</v>
      </c>
      <c r="B2" s="25" t="s">
        <v>97</v>
      </c>
      <c r="C2" s="25" t="s">
        <v>98</v>
      </c>
    </row>
    <row r="3" spans="1:3" x14ac:dyDescent="0.25">
      <c r="A3" s="26">
        <v>1200</v>
      </c>
      <c r="B3" s="27">
        <v>0.05</v>
      </c>
      <c r="C3" s="26">
        <f>PRODUCT(A3*B3)</f>
        <v>60</v>
      </c>
    </row>
    <row r="4" spans="1:3" x14ac:dyDescent="0.25">
      <c r="A4" s="26">
        <v>750</v>
      </c>
      <c r="B4" s="27">
        <v>0.08</v>
      </c>
      <c r="C4" s="26">
        <f t="shared" ref="C4:C11" si="0">PRODUCT(A4*B4)</f>
        <v>60</v>
      </c>
    </row>
    <row r="5" spans="1:3" x14ac:dyDescent="0.25">
      <c r="A5" s="26">
        <v>600</v>
      </c>
      <c r="B5" s="27">
        <v>0.12</v>
      </c>
      <c r="C5" s="26">
        <f t="shared" si="0"/>
        <v>72</v>
      </c>
    </row>
    <row r="6" spans="1:3" x14ac:dyDescent="0.25">
      <c r="A6" s="26">
        <v>320</v>
      </c>
      <c r="B6" s="27">
        <v>0.3</v>
      </c>
      <c r="C6" s="26">
        <f t="shared" si="0"/>
        <v>96</v>
      </c>
    </row>
    <row r="7" spans="1:3" x14ac:dyDescent="0.25">
      <c r="A7" s="26">
        <v>100</v>
      </c>
      <c r="B7" s="27">
        <v>0.1</v>
      </c>
      <c r="C7" s="26">
        <f t="shared" si="0"/>
        <v>10</v>
      </c>
    </row>
    <row r="8" spans="1:3" x14ac:dyDescent="0.25">
      <c r="A8" s="26">
        <v>150</v>
      </c>
      <c r="B8" s="27">
        <v>0.04</v>
      </c>
      <c r="C8" s="26">
        <f t="shared" si="0"/>
        <v>6</v>
      </c>
    </row>
    <row r="9" spans="1:3" x14ac:dyDescent="0.25">
      <c r="A9" s="26">
        <v>230</v>
      </c>
      <c r="B9" s="27">
        <v>7.0000000000000007E-2</v>
      </c>
      <c r="C9" s="26">
        <f t="shared" si="0"/>
        <v>16.100000000000001</v>
      </c>
    </row>
    <row r="10" spans="1:3" x14ac:dyDescent="0.25">
      <c r="A10" s="26">
        <v>200</v>
      </c>
      <c r="B10" s="27">
        <v>0.11</v>
      </c>
      <c r="C10" s="26">
        <f t="shared" si="0"/>
        <v>22</v>
      </c>
    </row>
    <row r="11" spans="1:3" x14ac:dyDescent="0.25">
      <c r="A11" s="26">
        <v>420</v>
      </c>
      <c r="B11" s="27">
        <v>0.25</v>
      </c>
      <c r="C11" s="26">
        <f t="shared" si="0"/>
        <v>105</v>
      </c>
    </row>
  </sheetData>
  <mergeCells count="1">
    <mergeCell ref="A1:C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9EE0C-9114-4567-A9CA-5B55AF4A31E4}">
  <dimension ref="A1:D10"/>
  <sheetViews>
    <sheetView workbookViewId="0">
      <selection activeCell="B9" sqref="B9"/>
    </sheetView>
  </sheetViews>
  <sheetFormatPr defaultRowHeight="15" x14ac:dyDescent="0.25"/>
  <cols>
    <col min="1" max="4" width="18.28515625" customWidth="1"/>
  </cols>
  <sheetData>
    <row r="1" spans="1:4" x14ac:dyDescent="0.25">
      <c r="A1" s="96" t="s">
        <v>99</v>
      </c>
      <c r="B1" s="96"/>
      <c r="C1" s="96"/>
      <c r="D1" s="96"/>
    </row>
    <row r="2" spans="1:4" ht="30" x14ac:dyDescent="0.25">
      <c r="A2" s="25" t="s">
        <v>100</v>
      </c>
      <c r="B2" s="25" t="s">
        <v>101</v>
      </c>
      <c r="C2" s="25" t="s">
        <v>102</v>
      </c>
      <c r="D2" s="25" t="s">
        <v>103</v>
      </c>
    </row>
    <row r="3" spans="1:4" x14ac:dyDescent="0.25">
      <c r="A3" s="26">
        <v>1894</v>
      </c>
      <c r="B3" s="27">
        <v>0.15</v>
      </c>
      <c r="C3" s="26">
        <f>A3*B3</f>
        <v>284.09999999999997</v>
      </c>
      <c r="D3" s="26">
        <f>A3+C3</f>
        <v>2178.1</v>
      </c>
    </row>
    <row r="4" spans="1:4" x14ac:dyDescent="0.25">
      <c r="A4" s="26">
        <v>1245</v>
      </c>
      <c r="B4" s="27">
        <v>0.3</v>
      </c>
      <c r="C4" s="26">
        <f t="shared" ref="C4:C10" si="0">A4*B4</f>
        <v>373.5</v>
      </c>
      <c r="D4" s="26">
        <f t="shared" ref="D4:D10" si="1">A4+C4</f>
        <v>1618.5</v>
      </c>
    </row>
    <row r="5" spans="1:4" x14ac:dyDescent="0.25">
      <c r="A5" s="26">
        <v>2357</v>
      </c>
      <c r="B5" s="27">
        <v>0.18</v>
      </c>
      <c r="C5" s="26">
        <f t="shared" si="0"/>
        <v>424.26</v>
      </c>
      <c r="D5" s="26">
        <f t="shared" si="1"/>
        <v>2781.26</v>
      </c>
    </row>
    <row r="6" spans="1:4" x14ac:dyDescent="0.25">
      <c r="A6" s="26">
        <v>9124</v>
      </c>
      <c r="B6" s="27">
        <v>0.23</v>
      </c>
      <c r="C6" s="26">
        <f t="shared" si="0"/>
        <v>2098.52</v>
      </c>
      <c r="D6" s="26">
        <f t="shared" si="1"/>
        <v>11222.52</v>
      </c>
    </row>
    <row r="7" spans="1:4" x14ac:dyDescent="0.25">
      <c r="A7" s="26">
        <v>1227</v>
      </c>
      <c r="B7" s="27">
        <v>0.12</v>
      </c>
      <c r="C7" s="26">
        <f t="shared" si="0"/>
        <v>147.23999999999998</v>
      </c>
      <c r="D7" s="26">
        <f t="shared" si="1"/>
        <v>1374.24</v>
      </c>
    </row>
    <row r="8" spans="1:4" x14ac:dyDescent="0.25">
      <c r="A8" s="26">
        <v>854</v>
      </c>
      <c r="B8" s="27">
        <v>0.1</v>
      </c>
      <c r="C8" s="26">
        <f t="shared" si="0"/>
        <v>85.4</v>
      </c>
      <c r="D8" s="26">
        <f t="shared" si="1"/>
        <v>939.4</v>
      </c>
    </row>
    <row r="9" spans="1:4" x14ac:dyDescent="0.25">
      <c r="A9" s="26">
        <v>2667</v>
      </c>
      <c r="B9" s="27">
        <v>0.25</v>
      </c>
      <c r="C9" s="26">
        <f t="shared" si="0"/>
        <v>666.75</v>
      </c>
      <c r="D9" s="26">
        <f t="shared" si="1"/>
        <v>3333.75</v>
      </c>
    </row>
    <row r="10" spans="1:4" x14ac:dyDescent="0.25">
      <c r="A10" s="26">
        <v>1127</v>
      </c>
      <c r="B10" s="27">
        <v>0.15</v>
      </c>
      <c r="C10" s="26">
        <f t="shared" si="0"/>
        <v>169.04999999999998</v>
      </c>
      <c r="D10" s="26">
        <f t="shared" si="1"/>
        <v>1296.05</v>
      </c>
    </row>
  </sheetData>
  <mergeCells count="1">
    <mergeCell ref="A1:D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D62C6-82E2-41B8-8C41-992AD2E082DD}">
  <dimension ref="A1:C10"/>
  <sheetViews>
    <sheetView workbookViewId="0">
      <selection activeCell="B9" sqref="B9"/>
    </sheetView>
  </sheetViews>
  <sheetFormatPr defaultRowHeight="15" x14ac:dyDescent="0.25"/>
  <cols>
    <col min="1" max="3" width="18.28515625" customWidth="1"/>
  </cols>
  <sheetData>
    <row r="1" spans="1:3" x14ac:dyDescent="0.25">
      <c r="A1" s="97" t="s">
        <v>99</v>
      </c>
      <c r="B1" s="98"/>
      <c r="C1" s="99"/>
    </row>
    <row r="2" spans="1:3" ht="32.25" customHeight="1" x14ac:dyDescent="0.25">
      <c r="A2" s="25" t="s">
        <v>100</v>
      </c>
      <c r="B2" s="25" t="s">
        <v>101</v>
      </c>
      <c r="C2" s="25" t="s">
        <v>103</v>
      </c>
    </row>
    <row r="3" spans="1:3" x14ac:dyDescent="0.25">
      <c r="A3" s="26">
        <v>1894</v>
      </c>
      <c r="B3" s="27">
        <v>0.15</v>
      </c>
      <c r="C3" s="26">
        <f>A3+(A3*B3)</f>
        <v>2178.1</v>
      </c>
    </row>
    <row r="4" spans="1:3" x14ac:dyDescent="0.25">
      <c r="A4" s="26">
        <v>1245</v>
      </c>
      <c r="B4" s="27">
        <v>0.3</v>
      </c>
      <c r="C4" s="26">
        <f t="shared" ref="C4:C10" si="0">A4+(A4*B4)</f>
        <v>1618.5</v>
      </c>
    </row>
    <row r="5" spans="1:3" x14ac:dyDescent="0.25">
      <c r="A5" s="26">
        <v>2357</v>
      </c>
      <c r="B5" s="27">
        <v>0.18</v>
      </c>
      <c r="C5" s="26">
        <f t="shared" si="0"/>
        <v>2781.26</v>
      </c>
    </row>
    <row r="6" spans="1:3" x14ac:dyDescent="0.25">
      <c r="A6" s="26">
        <v>9124</v>
      </c>
      <c r="B6" s="27">
        <v>0.23</v>
      </c>
      <c r="C6" s="26">
        <f t="shared" si="0"/>
        <v>11222.52</v>
      </c>
    </row>
    <row r="7" spans="1:3" x14ac:dyDescent="0.25">
      <c r="A7" s="26">
        <v>1227</v>
      </c>
      <c r="B7" s="27">
        <v>0.12</v>
      </c>
      <c r="C7" s="26">
        <f t="shared" si="0"/>
        <v>1374.24</v>
      </c>
    </row>
    <row r="8" spans="1:3" x14ac:dyDescent="0.25">
      <c r="A8" s="26">
        <v>854</v>
      </c>
      <c r="B8" s="27">
        <v>0.1</v>
      </c>
      <c r="C8" s="26">
        <f t="shared" si="0"/>
        <v>939.4</v>
      </c>
    </row>
    <row r="9" spans="1:3" x14ac:dyDescent="0.25">
      <c r="A9" s="26">
        <v>2667</v>
      </c>
      <c r="B9" s="27">
        <v>0.25</v>
      </c>
      <c r="C9" s="26">
        <f t="shared" si="0"/>
        <v>3333.75</v>
      </c>
    </row>
    <row r="10" spans="1:3" x14ac:dyDescent="0.25">
      <c r="A10" s="26">
        <v>1127</v>
      </c>
      <c r="B10" s="27">
        <v>0.15</v>
      </c>
      <c r="C10" s="26">
        <f t="shared" si="0"/>
        <v>1296.05</v>
      </c>
    </row>
  </sheetData>
  <mergeCells count="1">
    <mergeCell ref="A1:C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CA74-2469-430F-A83A-D4EEEBF888D9}">
  <dimension ref="A1:D12"/>
  <sheetViews>
    <sheetView workbookViewId="0">
      <selection activeCell="B9" sqref="B9"/>
    </sheetView>
  </sheetViews>
  <sheetFormatPr defaultColWidth="18.28515625" defaultRowHeight="15" x14ac:dyDescent="0.25"/>
  <cols>
    <col min="1" max="1" width="18.28515625" customWidth="1"/>
  </cols>
  <sheetData>
    <row r="1" spans="1:4" x14ac:dyDescent="0.25">
      <c r="A1" s="96" t="s">
        <v>104</v>
      </c>
      <c r="B1" s="96"/>
      <c r="C1" s="96"/>
      <c r="D1" s="96"/>
    </row>
    <row r="2" spans="1:4" ht="30" x14ac:dyDescent="0.25">
      <c r="A2" s="25" t="s">
        <v>105</v>
      </c>
      <c r="B2" s="25" t="s">
        <v>106</v>
      </c>
      <c r="C2" s="25" t="s">
        <v>107</v>
      </c>
      <c r="D2" s="25" t="s">
        <v>108</v>
      </c>
    </row>
    <row r="3" spans="1:4" x14ac:dyDescent="0.25">
      <c r="A3" s="31">
        <v>987</v>
      </c>
      <c r="B3" s="27">
        <v>0.08</v>
      </c>
      <c r="C3" s="33">
        <f>A3*B3</f>
        <v>78.960000000000008</v>
      </c>
      <c r="D3" s="33">
        <f>A3-(A3*B3)</f>
        <v>908.04</v>
      </c>
    </row>
    <row r="4" spans="1:4" x14ac:dyDescent="0.25">
      <c r="A4" s="31">
        <v>456</v>
      </c>
      <c r="B4" s="27">
        <v>0.09</v>
      </c>
      <c r="C4" s="33">
        <f t="shared" ref="C4:C10" si="0">A4*B4</f>
        <v>41.04</v>
      </c>
      <c r="D4" s="33">
        <f t="shared" ref="D4:D10" si="1">A4-(A4*B4)</f>
        <v>414.96</v>
      </c>
    </row>
    <row r="5" spans="1:4" x14ac:dyDescent="0.25">
      <c r="A5" s="32">
        <v>2487</v>
      </c>
      <c r="B5" s="27">
        <v>0.1</v>
      </c>
      <c r="C5" s="33">
        <f t="shared" si="0"/>
        <v>248.70000000000002</v>
      </c>
      <c r="D5" s="33">
        <f t="shared" si="1"/>
        <v>2238.3000000000002</v>
      </c>
    </row>
    <row r="6" spans="1:4" x14ac:dyDescent="0.25">
      <c r="A6" s="31">
        <v>855</v>
      </c>
      <c r="B6" s="27">
        <v>0.13</v>
      </c>
      <c r="C6" s="33">
        <f t="shared" si="0"/>
        <v>111.15</v>
      </c>
      <c r="D6" s="33">
        <f t="shared" si="1"/>
        <v>743.85</v>
      </c>
    </row>
    <row r="7" spans="1:4" x14ac:dyDescent="0.25">
      <c r="A7" s="31">
        <v>724</v>
      </c>
      <c r="B7" s="27">
        <v>0.15</v>
      </c>
      <c r="C7" s="33">
        <f t="shared" si="0"/>
        <v>108.6</v>
      </c>
      <c r="D7" s="33">
        <f t="shared" si="1"/>
        <v>615.4</v>
      </c>
    </row>
    <row r="8" spans="1:4" x14ac:dyDescent="0.25">
      <c r="A8" s="31">
        <v>678</v>
      </c>
      <c r="B8" s="27">
        <v>0.09</v>
      </c>
      <c r="C8" s="33">
        <f t="shared" si="0"/>
        <v>61.019999999999996</v>
      </c>
      <c r="D8" s="33">
        <f t="shared" si="1"/>
        <v>616.98</v>
      </c>
    </row>
    <row r="9" spans="1:4" x14ac:dyDescent="0.25">
      <c r="A9" s="31">
        <v>334</v>
      </c>
      <c r="B9" s="27">
        <v>0.1</v>
      </c>
      <c r="C9" s="33">
        <f t="shared" si="0"/>
        <v>33.4</v>
      </c>
      <c r="D9" s="33">
        <f t="shared" si="1"/>
        <v>300.60000000000002</v>
      </c>
    </row>
    <row r="10" spans="1:4" x14ac:dyDescent="0.25">
      <c r="A10" s="31">
        <v>1198</v>
      </c>
      <c r="B10" s="27">
        <v>0.05</v>
      </c>
      <c r="C10" s="33">
        <f t="shared" si="0"/>
        <v>59.900000000000006</v>
      </c>
      <c r="D10" s="33">
        <f t="shared" si="1"/>
        <v>1138.0999999999999</v>
      </c>
    </row>
    <row r="11" spans="1:4" x14ac:dyDescent="0.25">
      <c r="A11" s="30"/>
      <c r="B11" s="30"/>
      <c r="C11" s="30"/>
      <c r="D11" s="30"/>
    </row>
    <row r="12" spans="1:4" x14ac:dyDescent="0.25">
      <c r="A12" s="30"/>
      <c r="B12" s="30"/>
      <c r="C12" s="30"/>
      <c r="D12" s="30"/>
    </row>
  </sheetData>
  <mergeCells count="1">
    <mergeCell ref="A1:D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59E7-EA04-4E0E-956B-2E07B25197B8}">
  <dimension ref="A1:C10"/>
  <sheetViews>
    <sheetView workbookViewId="0">
      <selection activeCell="B9" sqref="B9"/>
    </sheetView>
  </sheetViews>
  <sheetFormatPr defaultColWidth="18.28515625" defaultRowHeight="15" x14ac:dyDescent="0.25"/>
  <sheetData>
    <row r="1" spans="1:3" x14ac:dyDescent="0.25">
      <c r="A1" s="97" t="s">
        <v>104</v>
      </c>
      <c r="B1" s="98"/>
      <c r="C1" s="99"/>
    </row>
    <row r="2" spans="1:3" ht="30" x14ac:dyDescent="0.25">
      <c r="A2" s="25" t="s">
        <v>105</v>
      </c>
      <c r="B2" s="25" t="s">
        <v>106</v>
      </c>
      <c r="C2" s="25" t="s">
        <v>108</v>
      </c>
    </row>
    <row r="3" spans="1:3" x14ac:dyDescent="0.25">
      <c r="A3" s="34">
        <v>987</v>
      </c>
      <c r="B3" s="27">
        <v>0.08</v>
      </c>
      <c r="C3" s="35">
        <f>A3-(A3*B3)</f>
        <v>908.04</v>
      </c>
    </row>
    <row r="4" spans="1:3" x14ac:dyDescent="0.25">
      <c r="A4" s="34">
        <v>456</v>
      </c>
      <c r="B4" s="27">
        <v>0.09</v>
      </c>
      <c r="C4" s="35">
        <f t="shared" ref="C4:C10" si="0">A4-(A4*B4)</f>
        <v>414.96</v>
      </c>
    </row>
    <row r="5" spans="1:3" x14ac:dyDescent="0.25">
      <c r="A5" s="36">
        <v>2487</v>
      </c>
      <c r="B5" s="27">
        <v>0.1</v>
      </c>
      <c r="C5" s="35">
        <f t="shared" si="0"/>
        <v>2238.3000000000002</v>
      </c>
    </row>
    <row r="6" spans="1:3" x14ac:dyDescent="0.25">
      <c r="A6" s="34">
        <v>855</v>
      </c>
      <c r="B6" s="27">
        <v>0.13</v>
      </c>
      <c r="C6" s="35">
        <f t="shared" si="0"/>
        <v>743.85</v>
      </c>
    </row>
    <row r="7" spans="1:3" x14ac:dyDescent="0.25">
      <c r="A7" s="34">
        <v>724</v>
      </c>
      <c r="B7" s="27">
        <v>0.15</v>
      </c>
      <c r="C7" s="35">
        <f t="shared" si="0"/>
        <v>615.4</v>
      </c>
    </row>
    <row r="8" spans="1:3" x14ac:dyDescent="0.25">
      <c r="A8" s="34">
        <v>678</v>
      </c>
      <c r="B8" s="27">
        <v>0.09</v>
      </c>
      <c r="C8" s="35">
        <f t="shared" si="0"/>
        <v>616.98</v>
      </c>
    </row>
    <row r="9" spans="1:3" x14ac:dyDescent="0.25">
      <c r="A9" s="34">
        <v>334</v>
      </c>
      <c r="B9" s="27">
        <v>0.1</v>
      </c>
      <c r="C9" s="35">
        <f t="shared" si="0"/>
        <v>300.60000000000002</v>
      </c>
    </row>
    <row r="10" spans="1:3" x14ac:dyDescent="0.25">
      <c r="A10" s="34">
        <v>1198</v>
      </c>
      <c r="B10" s="27">
        <v>0.05</v>
      </c>
      <c r="C10" s="35">
        <f t="shared" si="0"/>
        <v>1138.0999999999999</v>
      </c>
    </row>
  </sheetData>
  <mergeCells count="1">
    <mergeCell ref="A1:C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85A7E-C666-4C48-B39E-3FFFD9BCE6C0}">
  <dimension ref="A1:C13"/>
  <sheetViews>
    <sheetView workbookViewId="0">
      <selection activeCell="B9" sqref="B9"/>
    </sheetView>
  </sheetViews>
  <sheetFormatPr defaultColWidth="18.28515625" defaultRowHeight="15" x14ac:dyDescent="0.25"/>
  <sheetData>
    <row r="1" spans="1:3" x14ac:dyDescent="0.25">
      <c r="A1" s="96" t="s">
        <v>112</v>
      </c>
      <c r="B1" s="96"/>
      <c r="C1" s="96"/>
    </row>
    <row r="2" spans="1:3" ht="30" x14ac:dyDescent="0.25">
      <c r="A2" s="25" t="s">
        <v>109</v>
      </c>
      <c r="B2" s="25" t="s">
        <v>110</v>
      </c>
      <c r="C2" s="25" t="s">
        <v>111</v>
      </c>
    </row>
    <row r="3" spans="1:3" x14ac:dyDescent="0.25">
      <c r="A3" s="26">
        <v>1445</v>
      </c>
      <c r="B3" s="27">
        <v>0.15</v>
      </c>
      <c r="C3" s="26">
        <f>A3+(A3*B3)</f>
        <v>1661.75</v>
      </c>
    </row>
    <row r="4" spans="1:3" x14ac:dyDescent="0.25">
      <c r="A4" s="37">
        <v>258</v>
      </c>
      <c r="B4" s="27">
        <v>0.15</v>
      </c>
      <c r="C4" s="26">
        <f t="shared" ref="C4:C13" si="0">A4+(A4*B4)</f>
        <v>296.7</v>
      </c>
    </row>
    <row r="5" spans="1:3" x14ac:dyDescent="0.25">
      <c r="A5" s="37">
        <v>702</v>
      </c>
      <c r="B5" s="27">
        <v>0.15</v>
      </c>
      <c r="C5" s="26">
        <f t="shared" si="0"/>
        <v>807.3</v>
      </c>
    </row>
    <row r="6" spans="1:3" x14ac:dyDescent="0.25">
      <c r="A6" s="37">
        <v>374</v>
      </c>
      <c r="B6" s="27">
        <v>0.15</v>
      </c>
      <c r="C6" s="26">
        <f t="shared" si="0"/>
        <v>430.1</v>
      </c>
    </row>
    <row r="7" spans="1:3" x14ac:dyDescent="0.25">
      <c r="A7" s="37">
        <v>9541</v>
      </c>
      <c r="B7" s="27">
        <v>0.15</v>
      </c>
      <c r="C7" s="26">
        <f t="shared" si="0"/>
        <v>10972.15</v>
      </c>
    </row>
    <row r="8" spans="1:3" x14ac:dyDescent="0.25">
      <c r="A8" s="37">
        <v>1459</v>
      </c>
      <c r="B8" s="27">
        <v>0.15</v>
      </c>
      <c r="C8" s="26">
        <f t="shared" si="0"/>
        <v>1677.85</v>
      </c>
    </row>
    <row r="9" spans="1:3" x14ac:dyDescent="0.25">
      <c r="A9" s="37">
        <v>1157</v>
      </c>
      <c r="B9" s="27">
        <v>0.15</v>
      </c>
      <c r="C9" s="26">
        <f t="shared" si="0"/>
        <v>1330.55</v>
      </c>
    </row>
    <row r="10" spans="1:3" x14ac:dyDescent="0.25">
      <c r="A10" s="37">
        <v>1354</v>
      </c>
      <c r="B10" s="27">
        <v>0.15</v>
      </c>
      <c r="C10" s="26">
        <f t="shared" si="0"/>
        <v>1557.1</v>
      </c>
    </row>
    <row r="11" spans="1:3" x14ac:dyDescent="0.25">
      <c r="A11" s="37">
        <v>456</v>
      </c>
      <c r="B11" s="27">
        <v>0.15</v>
      </c>
      <c r="C11" s="26">
        <f t="shared" si="0"/>
        <v>524.4</v>
      </c>
    </row>
    <row r="12" spans="1:3" x14ac:dyDescent="0.25">
      <c r="A12" s="37">
        <v>1128</v>
      </c>
      <c r="B12" s="27">
        <v>0.15</v>
      </c>
      <c r="C12" s="26">
        <f t="shared" si="0"/>
        <v>1297.2</v>
      </c>
    </row>
    <row r="13" spans="1:3" x14ac:dyDescent="0.25">
      <c r="A13" s="37">
        <v>560</v>
      </c>
      <c r="B13" s="27">
        <v>0.15</v>
      </c>
      <c r="C13" s="26">
        <f t="shared" si="0"/>
        <v>644</v>
      </c>
    </row>
  </sheetData>
  <mergeCells count="1">
    <mergeCell ref="A1:C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9C30B-4968-4318-BE69-E5D8DC4D850C}">
  <dimension ref="A1:C13"/>
  <sheetViews>
    <sheetView workbookViewId="0">
      <selection activeCell="B9" sqref="B9"/>
    </sheetView>
  </sheetViews>
  <sheetFormatPr defaultColWidth="18.28515625" defaultRowHeight="15" x14ac:dyDescent="0.25"/>
  <sheetData>
    <row r="1" spans="1:3" x14ac:dyDescent="0.25">
      <c r="A1" s="96" t="s">
        <v>112</v>
      </c>
      <c r="B1" s="96"/>
      <c r="C1" s="96"/>
    </row>
    <row r="2" spans="1:3" ht="30" x14ac:dyDescent="0.25">
      <c r="A2" s="25" t="s">
        <v>109</v>
      </c>
      <c r="B2" s="25" t="s">
        <v>110</v>
      </c>
      <c r="C2" s="25" t="s">
        <v>111</v>
      </c>
    </row>
    <row r="3" spans="1:3" x14ac:dyDescent="0.25">
      <c r="A3" s="26">
        <v>1445</v>
      </c>
      <c r="B3" s="27">
        <v>0.15</v>
      </c>
      <c r="C3" s="26">
        <f>A3+(A3*B$3)</f>
        <v>1661.75</v>
      </c>
    </row>
    <row r="4" spans="1:3" x14ac:dyDescent="0.25">
      <c r="A4" s="37">
        <v>258</v>
      </c>
      <c r="B4" s="27"/>
      <c r="C4" s="26">
        <f t="shared" ref="C4:C13" si="0">A4+(A4*B$3)</f>
        <v>296.7</v>
      </c>
    </row>
    <row r="5" spans="1:3" x14ac:dyDescent="0.25">
      <c r="A5" s="37">
        <v>702</v>
      </c>
      <c r="B5" s="27"/>
      <c r="C5" s="26">
        <f t="shared" si="0"/>
        <v>807.3</v>
      </c>
    </row>
    <row r="6" spans="1:3" x14ac:dyDescent="0.25">
      <c r="A6" s="37">
        <v>374</v>
      </c>
      <c r="B6" s="27"/>
      <c r="C6" s="26">
        <f t="shared" si="0"/>
        <v>430.1</v>
      </c>
    </row>
    <row r="7" spans="1:3" x14ac:dyDescent="0.25">
      <c r="A7" s="37">
        <v>9541</v>
      </c>
      <c r="B7" s="27"/>
      <c r="C7" s="26">
        <f t="shared" si="0"/>
        <v>10972.15</v>
      </c>
    </row>
    <row r="8" spans="1:3" x14ac:dyDescent="0.25">
      <c r="A8" s="37">
        <v>1459</v>
      </c>
      <c r="B8" s="27"/>
      <c r="C8" s="26">
        <f t="shared" si="0"/>
        <v>1677.85</v>
      </c>
    </row>
    <row r="9" spans="1:3" x14ac:dyDescent="0.25">
      <c r="A9" s="37">
        <v>1157</v>
      </c>
      <c r="B9" s="27"/>
      <c r="C9" s="26">
        <f t="shared" si="0"/>
        <v>1330.55</v>
      </c>
    </row>
    <row r="10" spans="1:3" x14ac:dyDescent="0.25">
      <c r="A10" s="37">
        <v>1354</v>
      </c>
      <c r="B10" s="27"/>
      <c r="C10" s="26">
        <f t="shared" si="0"/>
        <v>1557.1</v>
      </c>
    </row>
    <row r="11" spans="1:3" x14ac:dyDescent="0.25">
      <c r="A11" s="37">
        <v>456</v>
      </c>
      <c r="B11" s="27"/>
      <c r="C11" s="26">
        <f t="shared" si="0"/>
        <v>524.4</v>
      </c>
    </row>
    <row r="12" spans="1:3" x14ac:dyDescent="0.25">
      <c r="A12" s="37">
        <v>1128</v>
      </c>
      <c r="B12" s="27"/>
      <c r="C12" s="26">
        <f t="shared" si="0"/>
        <v>1297.2</v>
      </c>
    </row>
    <row r="13" spans="1:3" x14ac:dyDescent="0.25">
      <c r="A13" s="37">
        <v>560</v>
      </c>
      <c r="B13" s="27"/>
      <c r="C13" s="26">
        <f t="shared" si="0"/>
        <v>644</v>
      </c>
    </row>
  </sheetData>
  <mergeCells count="1">
    <mergeCell ref="A1:C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80FA7-9308-4E2E-9158-5E085F4EB1F7}">
  <dimension ref="A1:G13"/>
  <sheetViews>
    <sheetView workbookViewId="0">
      <selection activeCell="B9" sqref="B9"/>
    </sheetView>
  </sheetViews>
  <sheetFormatPr defaultColWidth="18.28515625" defaultRowHeight="15" x14ac:dyDescent="0.25"/>
  <cols>
    <col min="5" max="7" width="27.42578125" customWidth="1"/>
  </cols>
  <sheetData>
    <row r="1" spans="1:7" x14ac:dyDescent="0.25">
      <c r="A1" s="100" t="s">
        <v>113</v>
      </c>
      <c r="B1" s="100"/>
      <c r="C1" s="100"/>
      <c r="D1" s="100"/>
      <c r="E1" s="100"/>
      <c r="F1" s="100"/>
      <c r="G1" s="100"/>
    </row>
    <row r="2" spans="1:7" ht="30" x14ac:dyDescent="0.25">
      <c r="A2" s="38" t="s">
        <v>114</v>
      </c>
      <c r="B2" s="38" t="s">
        <v>115</v>
      </c>
      <c r="C2" s="38" t="s">
        <v>116</v>
      </c>
      <c r="D2" s="38" t="s">
        <v>110</v>
      </c>
      <c r="E2" s="38" t="s">
        <v>117</v>
      </c>
      <c r="F2" s="38" t="s">
        <v>118</v>
      </c>
      <c r="G2" s="38" t="s">
        <v>119</v>
      </c>
    </row>
    <row r="3" spans="1:7" x14ac:dyDescent="0.25">
      <c r="A3" s="37">
        <v>1445</v>
      </c>
      <c r="B3" s="37">
        <v>1285</v>
      </c>
      <c r="C3" s="37">
        <v>1322</v>
      </c>
      <c r="D3" s="27">
        <v>0.15</v>
      </c>
      <c r="E3" s="26">
        <f>A3+(A3*$D$3)</f>
        <v>1661.75</v>
      </c>
      <c r="F3" s="26">
        <f t="shared" ref="F3:G3" si="0">B3+(B3*$D$3)</f>
        <v>1477.75</v>
      </c>
      <c r="G3" s="26">
        <f t="shared" si="0"/>
        <v>1520.3</v>
      </c>
    </row>
    <row r="4" spans="1:7" x14ac:dyDescent="0.25">
      <c r="A4" s="37">
        <v>258</v>
      </c>
      <c r="B4" s="37">
        <v>198</v>
      </c>
      <c r="C4" s="37">
        <v>235</v>
      </c>
      <c r="D4" s="19"/>
      <c r="E4" s="26">
        <f t="shared" ref="E4:E13" si="1">A4+(A4*$D$3)</f>
        <v>296.7</v>
      </c>
      <c r="F4" s="26">
        <f t="shared" ref="F4:F13" si="2">B4+(B4*$D$3)</f>
        <v>227.7</v>
      </c>
      <c r="G4" s="26">
        <f t="shared" ref="G4:G13" si="3">C4+(C4*$D$3)</f>
        <v>270.25</v>
      </c>
    </row>
    <row r="5" spans="1:7" x14ac:dyDescent="0.25">
      <c r="A5" s="37">
        <v>702</v>
      </c>
      <c r="B5" s="37">
        <v>768</v>
      </c>
      <c r="C5" s="37">
        <v>755</v>
      </c>
      <c r="D5" s="19"/>
      <c r="E5" s="26">
        <f t="shared" si="1"/>
        <v>807.3</v>
      </c>
      <c r="F5" s="26">
        <f t="shared" si="2"/>
        <v>883.2</v>
      </c>
      <c r="G5" s="26">
        <f t="shared" si="3"/>
        <v>868.25</v>
      </c>
    </row>
    <row r="6" spans="1:7" x14ac:dyDescent="0.25">
      <c r="A6" s="37">
        <v>374</v>
      </c>
      <c r="B6" s="37">
        <v>342</v>
      </c>
      <c r="C6" s="37">
        <v>314</v>
      </c>
      <c r="D6" s="19"/>
      <c r="E6" s="26">
        <f t="shared" si="1"/>
        <v>430.1</v>
      </c>
      <c r="F6" s="26">
        <f t="shared" si="2"/>
        <v>393.3</v>
      </c>
      <c r="G6" s="26">
        <f t="shared" si="3"/>
        <v>361.1</v>
      </c>
    </row>
    <row r="7" spans="1:7" x14ac:dyDescent="0.25">
      <c r="A7" s="37">
        <v>9541</v>
      </c>
      <c r="B7" s="37">
        <v>9124</v>
      </c>
      <c r="C7" s="37">
        <v>10124</v>
      </c>
      <c r="D7" s="19"/>
      <c r="E7" s="26">
        <f t="shared" si="1"/>
        <v>10972.15</v>
      </c>
      <c r="F7" s="26">
        <f t="shared" si="2"/>
        <v>10492.6</v>
      </c>
      <c r="G7" s="26">
        <f t="shared" si="3"/>
        <v>11642.6</v>
      </c>
    </row>
    <row r="8" spans="1:7" x14ac:dyDescent="0.25">
      <c r="A8" s="37">
        <v>1459</v>
      </c>
      <c r="B8" s="37">
        <v>1678</v>
      </c>
      <c r="C8" s="37">
        <v>1174</v>
      </c>
      <c r="D8" s="19"/>
      <c r="E8" s="26">
        <f t="shared" si="1"/>
        <v>1677.85</v>
      </c>
      <c r="F8" s="26">
        <f t="shared" si="2"/>
        <v>1929.7</v>
      </c>
      <c r="G8" s="26">
        <f t="shared" si="3"/>
        <v>1350.1</v>
      </c>
    </row>
    <row r="9" spans="1:7" x14ac:dyDescent="0.25">
      <c r="A9" s="37">
        <v>1157</v>
      </c>
      <c r="B9" s="37">
        <v>1002</v>
      </c>
      <c r="C9" s="37">
        <v>945</v>
      </c>
      <c r="D9" s="19"/>
      <c r="E9" s="26">
        <f t="shared" si="1"/>
        <v>1330.55</v>
      </c>
      <c r="F9" s="26">
        <f t="shared" si="2"/>
        <v>1152.3</v>
      </c>
      <c r="G9" s="26">
        <f t="shared" si="3"/>
        <v>1086.75</v>
      </c>
    </row>
    <row r="10" spans="1:7" x14ac:dyDescent="0.25">
      <c r="A10" s="37">
        <v>1354</v>
      </c>
      <c r="B10" s="37">
        <v>1345</v>
      </c>
      <c r="C10" s="37">
        <v>1554</v>
      </c>
      <c r="D10" s="19"/>
      <c r="E10" s="26">
        <f t="shared" si="1"/>
        <v>1557.1</v>
      </c>
      <c r="F10" s="26">
        <f t="shared" si="2"/>
        <v>1546.75</v>
      </c>
      <c r="G10" s="26">
        <f t="shared" si="3"/>
        <v>1787.1</v>
      </c>
    </row>
    <row r="11" spans="1:7" x14ac:dyDescent="0.25">
      <c r="A11" s="37">
        <v>456</v>
      </c>
      <c r="B11" s="37">
        <v>467</v>
      </c>
      <c r="C11" s="37">
        <v>544</v>
      </c>
      <c r="D11" s="19"/>
      <c r="E11" s="26">
        <f t="shared" si="1"/>
        <v>524.4</v>
      </c>
      <c r="F11" s="26">
        <f t="shared" si="2"/>
        <v>537.04999999999995</v>
      </c>
      <c r="G11" s="26">
        <f t="shared" si="3"/>
        <v>625.6</v>
      </c>
    </row>
    <row r="12" spans="1:7" x14ac:dyDescent="0.25">
      <c r="A12" s="37">
        <v>1128</v>
      </c>
      <c r="B12" s="37">
        <v>1174</v>
      </c>
      <c r="C12" s="37">
        <v>1127</v>
      </c>
      <c r="D12" s="19"/>
      <c r="E12" s="26">
        <f t="shared" si="1"/>
        <v>1297.2</v>
      </c>
      <c r="F12" s="26">
        <f t="shared" si="2"/>
        <v>1350.1</v>
      </c>
      <c r="G12" s="26">
        <f t="shared" si="3"/>
        <v>1296.05</v>
      </c>
    </row>
    <row r="13" spans="1:7" x14ac:dyDescent="0.25">
      <c r="A13" s="37">
        <v>560</v>
      </c>
      <c r="B13" s="37">
        <v>548</v>
      </c>
      <c r="C13" s="37">
        <v>657</v>
      </c>
      <c r="D13" s="19"/>
      <c r="E13" s="26">
        <f t="shared" si="1"/>
        <v>644</v>
      </c>
      <c r="F13" s="26">
        <f t="shared" si="2"/>
        <v>630.20000000000005</v>
      </c>
      <c r="G13" s="26">
        <f t="shared" si="3"/>
        <v>755.55</v>
      </c>
    </row>
  </sheetData>
  <mergeCells count="1">
    <mergeCell ref="A1:G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E3AA0-8A77-4663-8656-98F804E30CB8}">
  <dimension ref="A1:E13"/>
  <sheetViews>
    <sheetView workbookViewId="0">
      <selection activeCell="B9" sqref="B9"/>
    </sheetView>
  </sheetViews>
  <sheetFormatPr defaultColWidth="18.28515625" defaultRowHeight="15" x14ac:dyDescent="0.25"/>
  <cols>
    <col min="1" max="1" width="18.28515625" customWidth="1"/>
  </cols>
  <sheetData>
    <row r="1" spans="1:5" x14ac:dyDescent="0.25">
      <c r="A1" s="100" t="s">
        <v>120</v>
      </c>
      <c r="B1" s="101"/>
      <c r="C1" s="101"/>
      <c r="D1" s="101"/>
      <c r="E1" s="101"/>
    </row>
    <row r="2" spans="1:5" ht="30" x14ac:dyDescent="0.25">
      <c r="A2" s="38" t="s">
        <v>121</v>
      </c>
      <c r="B2" s="38" t="s">
        <v>122</v>
      </c>
      <c r="C2" s="38" t="s">
        <v>123</v>
      </c>
      <c r="D2" s="38" t="s">
        <v>124</v>
      </c>
      <c r="E2" s="38" t="s">
        <v>125</v>
      </c>
    </row>
    <row r="3" spans="1:5" x14ac:dyDescent="0.25">
      <c r="A3" s="40" t="s">
        <v>126</v>
      </c>
      <c r="B3" s="40" t="s">
        <v>136</v>
      </c>
      <c r="C3" s="42">
        <v>100</v>
      </c>
      <c r="D3" s="41">
        <v>12.8</v>
      </c>
      <c r="E3" s="41">
        <f>PRODUCT(C3:D3)</f>
        <v>1280</v>
      </c>
    </row>
    <row r="4" spans="1:5" x14ac:dyDescent="0.25">
      <c r="A4" s="40" t="s">
        <v>127</v>
      </c>
      <c r="B4" s="40" t="s">
        <v>137</v>
      </c>
      <c r="C4" s="42">
        <v>45</v>
      </c>
      <c r="D4" s="41">
        <v>25.6</v>
      </c>
      <c r="E4" s="41">
        <f t="shared" ref="E4:E12" si="0">PRODUCT(C4:D4)</f>
        <v>1152</v>
      </c>
    </row>
    <row r="5" spans="1:5" x14ac:dyDescent="0.25">
      <c r="A5" s="40" t="s">
        <v>128</v>
      </c>
      <c r="B5" s="40" t="s">
        <v>138</v>
      </c>
      <c r="C5" s="42">
        <v>5000</v>
      </c>
      <c r="D5" s="41">
        <v>0.25</v>
      </c>
      <c r="E5" s="41">
        <f t="shared" si="0"/>
        <v>1250</v>
      </c>
    </row>
    <row r="6" spans="1:5" x14ac:dyDescent="0.25">
      <c r="A6" s="40" t="s">
        <v>129</v>
      </c>
      <c r="B6" s="40" t="s">
        <v>139</v>
      </c>
      <c r="C6" s="42">
        <v>6</v>
      </c>
      <c r="D6" s="41">
        <v>289</v>
      </c>
      <c r="E6" s="41">
        <f t="shared" si="0"/>
        <v>1734</v>
      </c>
    </row>
    <row r="7" spans="1:5" x14ac:dyDescent="0.25">
      <c r="A7" s="40" t="s">
        <v>130</v>
      </c>
      <c r="B7" s="40" t="s">
        <v>140</v>
      </c>
      <c r="C7" s="42">
        <v>38</v>
      </c>
      <c r="D7" s="41">
        <v>18</v>
      </c>
      <c r="E7" s="41">
        <f t="shared" si="0"/>
        <v>684</v>
      </c>
    </row>
    <row r="8" spans="1:5" x14ac:dyDescent="0.25">
      <c r="A8" s="40" t="s">
        <v>131</v>
      </c>
      <c r="B8" s="40" t="s">
        <v>141</v>
      </c>
      <c r="C8" s="42">
        <v>20</v>
      </c>
      <c r="D8" s="41">
        <v>32</v>
      </c>
      <c r="E8" s="41">
        <f t="shared" si="0"/>
        <v>640</v>
      </c>
    </row>
    <row r="9" spans="1:5" x14ac:dyDescent="0.25">
      <c r="A9" s="40" t="s">
        <v>132</v>
      </c>
      <c r="B9" s="40" t="s">
        <v>142</v>
      </c>
      <c r="C9" s="42">
        <v>2</v>
      </c>
      <c r="D9" s="41">
        <v>550</v>
      </c>
      <c r="E9" s="41">
        <f t="shared" si="0"/>
        <v>1100</v>
      </c>
    </row>
    <row r="10" spans="1:5" x14ac:dyDescent="0.25">
      <c r="A10" s="40" t="s">
        <v>133</v>
      </c>
      <c r="B10" s="40" t="s">
        <v>143</v>
      </c>
      <c r="C10" s="42">
        <v>3</v>
      </c>
      <c r="D10" s="41">
        <v>950</v>
      </c>
      <c r="E10" s="41">
        <f t="shared" si="0"/>
        <v>2850</v>
      </c>
    </row>
    <row r="11" spans="1:5" x14ac:dyDescent="0.25">
      <c r="A11" s="40" t="s">
        <v>134</v>
      </c>
      <c r="B11" s="40" t="s">
        <v>144</v>
      </c>
      <c r="C11" s="42">
        <v>8</v>
      </c>
      <c r="D11" s="41">
        <v>112</v>
      </c>
      <c r="E11" s="41">
        <f t="shared" si="0"/>
        <v>896</v>
      </c>
    </row>
    <row r="12" spans="1:5" x14ac:dyDescent="0.25">
      <c r="A12" s="40" t="s">
        <v>135</v>
      </c>
      <c r="B12" s="40" t="s">
        <v>145</v>
      </c>
      <c r="C12" s="42">
        <v>1200</v>
      </c>
      <c r="D12" s="41">
        <v>0.85</v>
      </c>
      <c r="E12" s="41">
        <f t="shared" si="0"/>
        <v>1020</v>
      </c>
    </row>
    <row r="13" spans="1:5" x14ac:dyDescent="0.25">
      <c r="A13" s="7"/>
      <c r="B13" s="7"/>
      <c r="C13" s="102" t="s">
        <v>146</v>
      </c>
      <c r="D13" s="103"/>
      <c r="E13" s="43">
        <f>SUM(E3:E12)</f>
        <v>12606</v>
      </c>
    </row>
  </sheetData>
  <mergeCells count="2">
    <mergeCell ref="A1:E1"/>
    <mergeCell ref="C13:D1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12515-6823-4426-ACBC-81E1EEA6A69F}">
  <dimension ref="A1:C11"/>
  <sheetViews>
    <sheetView workbookViewId="0">
      <selection activeCell="B9" sqref="B9"/>
    </sheetView>
  </sheetViews>
  <sheetFormatPr defaultColWidth="18.28515625" defaultRowHeight="15" x14ac:dyDescent="0.25"/>
  <cols>
    <col min="3" max="3" width="27.140625" customWidth="1"/>
  </cols>
  <sheetData>
    <row r="1" spans="1:3" x14ac:dyDescent="0.25">
      <c r="A1" s="102" t="s">
        <v>148</v>
      </c>
      <c r="B1" s="104"/>
      <c r="C1" s="103"/>
    </row>
    <row r="2" spans="1:3" ht="45" x14ac:dyDescent="0.25">
      <c r="A2" s="39" t="s">
        <v>149</v>
      </c>
      <c r="B2" s="39" t="s">
        <v>150</v>
      </c>
      <c r="C2" s="38" t="s">
        <v>151</v>
      </c>
    </row>
    <row r="3" spans="1:3" x14ac:dyDescent="0.25">
      <c r="A3" s="45" t="s">
        <v>152</v>
      </c>
      <c r="B3" s="41">
        <v>70</v>
      </c>
      <c r="C3" s="46">
        <f>B3/B$11</f>
        <v>1.9564002235885971E-2</v>
      </c>
    </row>
    <row r="4" spans="1:3" x14ac:dyDescent="0.25">
      <c r="A4" s="45" t="s">
        <v>153</v>
      </c>
      <c r="B4" s="41">
        <v>93</v>
      </c>
      <c r="C4" s="46">
        <f t="shared" ref="C4:C9" si="0">B4/B$11</f>
        <v>2.5992174399105644E-2</v>
      </c>
    </row>
    <row r="5" spans="1:3" x14ac:dyDescent="0.25">
      <c r="A5" s="45" t="s">
        <v>154</v>
      </c>
      <c r="B5" s="41">
        <v>49.99</v>
      </c>
      <c r="C5" s="46">
        <f t="shared" si="0"/>
        <v>1.3971492453884852E-2</v>
      </c>
    </row>
    <row r="6" spans="1:3" x14ac:dyDescent="0.25">
      <c r="A6" s="45" t="s">
        <v>155</v>
      </c>
      <c r="B6" s="41">
        <v>859</v>
      </c>
      <c r="C6" s="46">
        <f t="shared" si="0"/>
        <v>0.24007825600894353</v>
      </c>
    </row>
    <row r="7" spans="1:3" x14ac:dyDescent="0.25">
      <c r="A7" s="45" t="s">
        <v>156</v>
      </c>
      <c r="B7" s="41">
        <v>560</v>
      </c>
      <c r="C7" s="46">
        <f t="shared" si="0"/>
        <v>0.15651201788708777</v>
      </c>
    </row>
    <row r="8" spans="1:3" x14ac:dyDescent="0.25">
      <c r="A8" s="45" t="s">
        <v>157</v>
      </c>
      <c r="B8" s="41">
        <v>320</v>
      </c>
      <c r="C8" s="46">
        <f t="shared" si="0"/>
        <v>8.9435438792621572E-2</v>
      </c>
    </row>
    <row r="9" spans="1:3" x14ac:dyDescent="0.25">
      <c r="A9" s="45" t="s">
        <v>158</v>
      </c>
      <c r="B9" s="41">
        <v>200</v>
      </c>
      <c r="C9" s="46">
        <f t="shared" si="0"/>
        <v>5.5897149245388487E-2</v>
      </c>
    </row>
    <row r="10" spans="1:3" x14ac:dyDescent="0.25">
      <c r="B10" s="32"/>
      <c r="C10" s="47"/>
    </row>
    <row r="11" spans="1:3" x14ac:dyDescent="0.25">
      <c r="A11" s="44" t="s">
        <v>147</v>
      </c>
      <c r="B11" s="41">
        <v>3578</v>
      </c>
    </row>
  </sheetData>
  <mergeCells count="1">
    <mergeCell ref="A1:C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1A2A5-9BB5-4A5A-8204-131F47308032}">
  <dimension ref="A1:D9"/>
  <sheetViews>
    <sheetView workbookViewId="0">
      <selection activeCell="B9" sqref="B9"/>
    </sheetView>
  </sheetViews>
  <sheetFormatPr defaultColWidth="18.28515625" defaultRowHeight="15" x14ac:dyDescent="0.25"/>
  <sheetData>
    <row r="1" spans="1:4" x14ac:dyDescent="0.25">
      <c r="A1" s="105" t="s">
        <v>159</v>
      </c>
      <c r="B1" s="106"/>
      <c r="C1" s="106"/>
      <c r="D1" s="107"/>
    </row>
    <row r="2" spans="1:4" ht="30" x14ac:dyDescent="0.25">
      <c r="A2" s="38" t="s">
        <v>160</v>
      </c>
      <c r="B2" s="38" t="s">
        <v>161</v>
      </c>
      <c r="C2" s="38" t="s">
        <v>162</v>
      </c>
      <c r="D2" s="38" t="s">
        <v>163</v>
      </c>
    </row>
    <row r="3" spans="1:4" x14ac:dyDescent="0.25">
      <c r="A3" s="19" t="s">
        <v>165</v>
      </c>
      <c r="B3" s="37">
        <v>1099</v>
      </c>
      <c r="C3" s="26">
        <f>$B$9*B3</f>
        <v>164.85</v>
      </c>
      <c r="D3" s="26">
        <f>SUM(B3:C3)</f>
        <v>1263.8499999999999</v>
      </c>
    </row>
    <row r="4" spans="1:4" x14ac:dyDescent="0.25">
      <c r="A4" s="19" t="s">
        <v>166</v>
      </c>
      <c r="B4" s="37">
        <v>799</v>
      </c>
      <c r="C4" s="26">
        <f t="shared" ref="C4:C7" si="0">$B$9*B4</f>
        <v>119.85</v>
      </c>
      <c r="D4" s="26">
        <f t="shared" ref="D4:D7" si="1">SUM(B4:C4)</f>
        <v>918.85</v>
      </c>
    </row>
    <row r="5" spans="1:4" x14ac:dyDescent="0.25">
      <c r="A5" s="19" t="s">
        <v>167</v>
      </c>
      <c r="B5" s="37">
        <v>359</v>
      </c>
      <c r="C5" s="26">
        <f t="shared" si="0"/>
        <v>53.85</v>
      </c>
      <c r="D5" s="26">
        <f t="shared" si="1"/>
        <v>412.85</v>
      </c>
    </row>
    <row r="6" spans="1:4" x14ac:dyDescent="0.25">
      <c r="A6" s="19" t="s">
        <v>168</v>
      </c>
      <c r="B6" s="37">
        <v>1299</v>
      </c>
      <c r="C6" s="26">
        <f t="shared" si="0"/>
        <v>194.85</v>
      </c>
      <c r="D6" s="26">
        <f t="shared" si="1"/>
        <v>1493.85</v>
      </c>
    </row>
    <row r="7" spans="1:4" x14ac:dyDescent="0.25">
      <c r="A7" s="19" t="s">
        <v>169</v>
      </c>
      <c r="B7" s="37">
        <v>899</v>
      </c>
      <c r="C7" s="26">
        <f t="shared" si="0"/>
        <v>134.85</v>
      </c>
      <c r="D7" s="26">
        <f t="shared" si="1"/>
        <v>1033.8499999999999</v>
      </c>
    </row>
    <row r="9" spans="1:4" x14ac:dyDescent="0.25">
      <c r="A9" s="39" t="s">
        <v>164</v>
      </c>
      <c r="B9" s="27">
        <v>0.15</v>
      </c>
    </row>
  </sheetData>
  <mergeCells count="1">
    <mergeCell ref="A1:D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E86F2-FBFA-4CF9-B1EE-216F5AE4C53B}">
  <dimension ref="A1:F18"/>
  <sheetViews>
    <sheetView workbookViewId="0">
      <selection activeCell="B9" sqref="B9"/>
    </sheetView>
  </sheetViews>
  <sheetFormatPr defaultColWidth="18.28515625" defaultRowHeight="15" x14ac:dyDescent="0.25"/>
  <sheetData>
    <row r="1" spans="1:6" x14ac:dyDescent="0.25">
      <c r="A1" s="105" t="s">
        <v>171</v>
      </c>
      <c r="B1" s="106"/>
      <c r="C1" s="106"/>
      <c r="D1" s="106"/>
      <c r="E1" s="106"/>
      <c r="F1" s="107"/>
    </row>
    <row r="2" spans="1:6" ht="30" x14ac:dyDescent="0.25">
      <c r="A2" s="38" t="s">
        <v>170</v>
      </c>
      <c r="B2" s="38" t="s">
        <v>172</v>
      </c>
      <c r="C2" s="38" t="s">
        <v>173</v>
      </c>
      <c r="D2" s="38" t="s">
        <v>174</v>
      </c>
      <c r="E2" s="38" t="s">
        <v>175</v>
      </c>
      <c r="F2" s="38" t="s">
        <v>176</v>
      </c>
    </row>
    <row r="3" spans="1:6" x14ac:dyDescent="0.25">
      <c r="A3" s="50" t="s">
        <v>181</v>
      </c>
      <c r="B3" s="49">
        <v>41641</v>
      </c>
      <c r="C3" s="49">
        <v>41644</v>
      </c>
      <c r="D3" s="41">
        <v>127.9</v>
      </c>
      <c r="E3" s="40">
        <f>_xlfn.DAYS(C3,B3)</f>
        <v>3</v>
      </c>
      <c r="F3" s="41">
        <f>PRODUCT(D3:E3)</f>
        <v>383.70000000000005</v>
      </c>
    </row>
    <row r="4" spans="1:6" x14ac:dyDescent="0.25">
      <c r="A4" s="50" t="s">
        <v>182</v>
      </c>
      <c r="B4" s="49">
        <v>41640</v>
      </c>
      <c r="C4" s="49">
        <v>41649</v>
      </c>
      <c r="D4" s="41">
        <v>185.6</v>
      </c>
      <c r="E4" s="40">
        <f>_xlfn.DAYS(C4,B4)</f>
        <v>9</v>
      </c>
      <c r="F4" s="41">
        <f t="shared" ref="F4:F14" si="0">PRODUCT(D4:E4)</f>
        <v>1670.3999999999999</v>
      </c>
    </row>
    <row r="5" spans="1:6" x14ac:dyDescent="0.25">
      <c r="A5" s="50" t="s">
        <v>183</v>
      </c>
      <c r="B5" s="49">
        <v>41644</v>
      </c>
      <c r="C5" s="49">
        <v>41648</v>
      </c>
      <c r="D5" s="41">
        <v>240.36</v>
      </c>
      <c r="E5" s="40">
        <f t="shared" ref="E5:E14" si="1">_xlfn.DAYS(C5,B5)</f>
        <v>4</v>
      </c>
      <c r="F5" s="41">
        <f t="shared" si="0"/>
        <v>961.44</v>
      </c>
    </row>
    <row r="6" spans="1:6" x14ac:dyDescent="0.25">
      <c r="A6" s="50" t="s">
        <v>184</v>
      </c>
      <c r="B6" s="49">
        <v>41649</v>
      </c>
      <c r="C6" s="49">
        <v>41651</v>
      </c>
      <c r="D6" s="41">
        <v>175.9</v>
      </c>
      <c r="E6" s="40">
        <f t="shared" si="1"/>
        <v>2</v>
      </c>
      <c r="F6" s="41">
        <f t="shared" si="0"/>
        <v>351.8</v>
      </c>
    </row>
    <row r="7" spans="1:6" x14ac:dyDescent="0.25">
      <c r="A7" s="50" t="s">
        <v>185</v>
      </c>
      <c r="B7" s="49">
        <v>41657</v>
      </c>
      <c r="C7" s="49">
        <v>41659</v>
      </c>
      <c r="D7" s="41">
        <v>80.25</v>
      </c>
      <c r="E7" s="40">
        <f t="shared" si="1"/>
        <v>2</v>
      </c>
      <c r="F7" s="41">
        <f t="shared" si="0"/>
        <v>160.5</v>
      </c>
    </row>
    <row r="8" spans="1:6" x14ac:dyDescent="0.25">
      <c r="A8" s="50" t="s">
        <v>186</v>
      </c>
      <c r="B8" s="49">
        <v>41646</v>
      </c>
      <c r="C8" s="49">
        <v>41651</v>
      </c>
      <c r="D8" s="41">
        <v>110.75</v>
      </c>
      <c r="E8" s="40">
        <f t="shared" si="1"/>
        <v>5</v>
      </c>
      <c r="F8" s="41">
        <f t="shared" si="0"/>
        <v>553.75</v>
      </c>
    </row>
    <row r="9" spans="1:6" x14ac:dyDescent="0.25">
      <c r="A9" s="50" t="s">
        <v>187</v>
      </c>
      <c r="B9" s="49">
        <v>41645</v>
      </c>
      <c r="C9" s="49">
        <v>41647</v>
      </c>
      <c r="D9" s="41">
        <v>150.6</v>
      </c>
      <c r="E9" s="40">
        <f t="shared" si="1"/>
        <v>2</v>
      </c>
      <c r="F9" s="41">
        <f t="shared" si="0"/>
        <v>301.2</v>
      </c>
    </row>
    <row r="10" spans="1:6" x14ac:dyDescent="0.25">
      <c r="A10" s="50" t="s">
        <v>188</v>
      </c>
      <c r="B10" s="49">
        <v>41651</v>
      </c>
      <c r="C10" s="49">
        <v>41660</v>
      </c>
      <c r="D10" s="41">
        <v>132.5</v>
      </c>
      <c r="E10" s="40">
        <f t="shared" si="1"/>
        <v>9</v>
      </c>
      <c r="F10" s="41">
        <f t="shared" si="0"/>
        <v>1192.5</v>
      </c>
    </row>
    <row r="11" spans="1:6" x14ac:dyDescent="0.25">
      <c r="A11" s="50" t="s">
        <v>189</v>
      </c>
      <c r="B11" s="49">
        <v>41660</v>
      </c>
      <c r="C11" s="49">
        <v>41664</v>
      </c>
      <c r="D11" s="41">
        <v>130.9</v>
      </c>
      <c r="E11" s="40">
        <f t="shared" si="1"/>
        <v>4</v>
      </c>
      <c r="F11" s="41">
        <f t="shared" si="0"/>
        <v>523.6</v>
      </c>
    </row>
    <row r="12" spans="1:6" x14ac:dyDescent="0.25">
      <c r="A12" s="50" t="s">
        <v>190</v>
      </c>
      <c r="B12" s="49">
        <v>41657</v>
      </c>
      <c r="C12" s="49">
        <v>41662</v>
      </c>
      <c r="D12" s="41">
        <v>150.44999999999999</v>
      </c>
      <c r="E12" s="40">
        <f t="shared" si="1"/>
        <v>5</v>
      </c>
      <c r="F12" s="41">
        <f t="shared" si="0"/>
        <v>752.25</v>
      </c>
    </row>
    <row r="13" spans="1:6" x14ac:dyDescent="0.25">
      <c r="A13" s="50" t="s">
        <v>191</v>
      </c>
      <c r="B13" s="49">
        <v>41642</v>
      </c>
      <c r="C13" s="49">
        <v>41656</v>
      </c>
      <c r="D13" s="41">
        <v>114.8</v>
      </c>
      <c r="E13" s="40">
        <f t="shared" si="1"/>
        <v>14</v>
      </c>
      <c r="F13" s="41">
        <f t="shared" si="0"/>
        <v>1607.2</v>
      </c>
    </row>
    <row r="14" spans="1:6" x14ac:dyDescent="0.25">
      <c r="A14" s="50" t="s">
        <v>192</v>
      </c>
      <c r="B14" s="49">
        <v>41646</v>
      </c>
      <c r="C14" s="49">
        <v>41647</v>
      </c>
      <c r="D14" s="41">
        <v>210.9</v>
      </c>
      <c r="E14" s="40">
        <f t="shared" si="1"/>
        <v>1</v>
      </c>
      <c r="F14" s="41">
        <f t="shared" si="0"/>
        <v>210.9</v>
      </c>
    </row>
    <row r="15" spans="1:6" x14ac:dyDescent="0.25">
      <c r="D15" s="101" t="s">
        <v>177</v>
      </c>
      <c r="E15" s="101"/>
      <c r="F15" s="26">
        <f>SUM(F3:F14)</f>
        <v>8669.24</v>
      </c>
    </row>
    <row r="16" spans="1:6" x14ac:dyDescent="0.25">
      <c r="D16" s="101" t="s">
        <v>178</v>
      </c>
      <c r="E16" s="101"/>
      <c r="F16" s="26">
        <f>AVERAGE(F3:F14)</f>
        <v>722.43666666666661</v>
      </c>
    </row>
    <row r="17" spans="4:6" x14ac:dyDescent="0.25">
      <c r="D17" s="101" t="s">
        <v>179</v>
      </c>
      <c r="E17" s="101"/>
      <c r="F17" s="26">
        <f>MAX(F3:F14)</f>
        <v>1670.3999999999999</v>
      </c>
    </row>
    <row r="18" spans="4:6" x14ac:dyDescent="0.25">
      <c r="D18" s="101" t="s">
        <v>180</v>
      </c>
      <c r="E18" s="101"/>
      <c r="F18" s="26">
        <f>MIN(F3:F14)</f>
        <v>160.5</v>
      </c>
    </row>
  </sheetData>
  <mergeCells count="5">
    <mergeCell ref="A1:F1"/>
    <mergeCell ref="D15:E15"/>
    <mergeCell ref="D16:E16"/>
    <mergeCell ref="D17:E17"/>
    <mergeCell ref="D18:E18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8ABE0-667E-4B56-93A6-005263631C0C}">
  <dimension ref="A1:F8"/>
  <sheetViews>
    <sheetView workbookViewId="0">
      <selection activeCell="B9" sqref="B9"/>
    </sheetView>
  </sheetViews>
  <sheetFormatPr defaultColWidth="18.28515625" defaultRowHeight="15" x14ac:dyDescent="0.25"/>
  <cols>
    <col min="5" max="5" width="27.42578125" customWidth="1"/>
  </cols>
  <sheetData>
    <row r="1" spans="1:6" x14ac:dyDescent="0.25">
      <c r="A1" s="108" t="s">
        <v>198</v>
      </c>
      <c r="B1" s="108"/>
      <c r="C1" s="108"/>
      <c r="D1" s="108"/>
      <c r="E1" s="108"/>
      <c r="F1" s="108"/>
    </row>
    <row r="2" spans="1:6" ht="60" x14ac:dyDescent="0.25">
      <c r="A2" s="38" t="s">
        <v>193</v>
      </c>
      <c r="B2" s="38" t="s">
        <v>194</v>
      </c>
      <c r="C2" s="38" t="s">
        <v>195</v>
      </c>
      <c r="D2" s="38" t="s">
        <v>196</v>
      </c>
      <c r="E2" s="38" t="s">
        <v>197</v>
      </c>
      <c r="F2" s="38" t="s">
        <v>199</v>
      </c>
    </row>
    <row r="3" spans="1:6" x14ac:dyDescent="0.25">
      <c r="A3" s="40" t="s">
        <v>24</v>
      </c>
      <c r="B3" s="40">
        <v>66</v>
      </c>
      <c r="C3" s="52">
        <v>0.4</v>
      </c>
      <c r="D3" s="43">
        <f>B3*C$3</f>
        <v>26.400000000000002</v>
      </c>
      <c r="E3" s="53">
        <v>0.17</v>
      </c>
      <c r="F3" s="43">
        <f>D3+(E$3*D3)</f>
        <v>30.888000000000002</v>
      </c>
    </row>
    <row r="4" spans="1:6" x14ac:dyDescent="0.25">
      <c r="A4" s="40" t="s">
        <v>26</v>
      </c>
      <c r="B4" s="40">
        <v>120</v>
      </c>
      <c r="C4" s="7"/>
      <c r="D4" s="43">
        <f t="shared" ref="D4:D8" si="0">B4*C$3</f>
        <v>48</v>
      </c>
      <c r="E4" s="7"/>
      <c r="F4" s="43">
        <f>D4+(E$3*D4)</f>
        <v>56.16</v>
      </c>
    </row>
    <row r="5" spans="1:6" x14ac:dyDescent="0.25">
      <c r="A5" s="40" t="s">
        <v>28</v>
      </c>
      <c r="B5" s="40">
        <v>75</v>
      </c>
      <c r="C5" s="7"/>
      <c r="D5" s="43">
        <f t="shared" si="0"/>
        <v>30</v>
      </c>
      <c r="E5" s="7"/>
      <c r="F5" s="43">
        <f t="shared" ref="F5:F8" si="1">D5+(E$3*D5)</f>
        <v>35.1</v>
      </c>
    </row>
    <row r="6" spans="1:6" x14ac:dyDescent="0.25">
      <c r="A6" s="40" t="s">
        <v>30</v>
      </c>
      <c r="B6" s="40">
        <v>80</v>
      </c>
      <c r="C6" s="7"/>
      <c r="D6" s="43">
        <f t="shared" si="0"/>
        <v>32</v>
      </c>
      <c r="E6" s="7"/>
      <c r="F6" s="43">
        <f t="shared" si="1"/>
        <v>37.44</v>
      </c>
    </row>
    <row r="7" spans="1:6" x14ac:dyDescent="0.25">
      <c r="A7" s="40" t="s">
        <v>32</v>
      </c>
      <c r="B7" s="40">
        <v>60</v>
      </c>
      <c r="C7" s="7"/>
      <c r="D7" s="43">
        <f t="shared" si="0"/>
        <v>24</v>
      </c>
      <c r="E7" s="7"/>
      <c r="F7" s="43">
        <f t="shared" si="1"/>
        <v>28.08</v>
      </c>
    </row>
    <row r="8" spans="1:6" x14ac:dyDescent="0.25">
      <c r="A8" s="40" t="s">
        <v>34</v>
      </c>
      <c r="B8" s="40">
        <v>55</v>
      </c>
      <c r="C8" s="7"/>
      <c r="D8" s="43">
        <f t="shared" si="0"/>
        <v>22</v>
      </c>
      <c r="E8" s="7"/>
      <c r="F8" s="43">
        <f t="shared" si="1"/>
        <v>25.740000000000002</v>
      </c>
    </row>
  </sheetData>
  <mergeCells count="1">
    <mergeCell ref="A1:F1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D01D7-7F77-4352-94FA-C4188689A143}">
  <dimension ref="A1:D18"/>
  <sheetViews>
    <sheetView workbookViewId="0">
      <selection activeCell="D17" sqref="D17"/>
    </sheetView>
  </sheetViews>
  <sheetFormatPr defaultColWidth="18.28515625" defaultRowHeight="15" x14ac:dyDescent="0.25"/>
  <sheetData>
    <row r="1" spans="1:4" x14ac:dyDescent="0.25">
      <c r="A1" s="108" t="s">
        <v>206</v>
      </c>
      <c r="B1" s="108"/>
      <c r="C1" s="108"/>
      <c r="D1" s="108"/>
    </row>
    <row r="2" spans="1:4" x14ac:dyDescent="0.25">
      <c r="A2" s="51" t="s">
        <v>208</v>
      </c>
      <c r="B2" s="109" t="s">
        <v>210</v>
      </c>
      <c r="C2" s="110"/>
      <c r="D2" s="111"/>
    </row>
    <row r="3" spans="1:4" x14ac:dyDescent="0.25">
      <c r="A3" s="51" t="s">
        <v>43</v>
      </c>
      <c r="B3" s="112">
        <v>5144230</v>
      </c>
      <c r="C3" s="113"/>
      <c r="D3" s="114"/>
    </row>
    <row r="4" spans="1:4" x14ac:dyDescent="0.25">
      <c r="A4" s="51" t="s">
        <v>207</v>
      </c>
      <c r="B4" s="109" t="s">
        <v>211</v>
      </c>
      <c r="C4" s="110"/>
      <c r="D4" s="111"/>
    </row>
    <row r="5" spans="1:4" x14ac:dyDescent="0.25">
      <c r="A5" s="51" t="s">
        <v>154</v>
      </c>
      <c r="B5" s="115">
        <v>33337878</v>
      </c>
      <c r="C5" s="116"/>
      <c r="D5" s="117"/>
    </row>
    <row r="7" spans="1:4" x14ac:dyDescent="0.25">
      <c r="A7" s="108" t="s">
        <v>205</v>
      </c>
      <c r="B7" s="108"/>
      <c r="C7" s="108"/>
      <c r="D7" s="108"/>
    </row>
    <row r="8" spans="1:4" x14ac:dyDescent="0.25">
      <c r="A8" s="38" t="s">
        <v>203</v>
      </c>
      <c r="B8" s="38" t="s">
        <v>123</v>
      </c>
      <c r="C8" s="38" t="s">
        <v>124</v>
      </c>
      <c r="D8" s="38" t="s">
        <v>204</v>
      </c>
    </row>
    <row r="9" spans="1:4" x14ac:dyDescent="0.25">
      <c r="A9" s="19" t="s">
        <v>212</v>
      </c>
      <c r="B9" s="42">
        <v>120</v>
      </c>
      <c r="C9" s="41">
        <v>55</v>
      </c>
      <c r="D9" s="43">
        <f>B9*C9</f>
        <v>6600</v>
      </c>
    </row>
    <row r="10" spans="1:4" x14ac:dyDescent="0.25">
      <c r="A10" s="19" t="s">
        <v>213</v>
      </c>
      <c r="B10" s="42">
        <v>35</v>
      </c>
      <c r="C10" s="41">
        <v>30</v>
      </c>
      <c r="D10" s="43">
        <f t="shared" ref="D10:D13" si="0">B10*C10</f>
        <v>1050</v>
      </c>
    </row>
    <row r="11" spans="1:4" x14ac:dyDescent="0.25">
      <c r="A11" s="19" t="s">
        <v>214</v>
      </c>
      <c r="B11" s="42">
        <v>45</v>
      </c>
      <c r="C11" s="41">
        <v>68</v>
      </c>
      <c r="D11" s="43">
        <f t="shared" si="0"/>
        <v>3060</v>
      </c>
    </row>
    <row r="12" spans="1:4" x14ac:dyDescent="0.25">
      <c r="A12" s="19" t="s">
        <v>215</v>
      </c>
      <c r="B12" s="42">
        <v>8</v>
      </c>
      <c r="C12" s="41">
        <v>2450</v>
      </c>
      <c r="D12" s="43">
        <f t="shared" si="0"/>
        <v>19600</v>
      </c>
    </row>
    <row r="13" spans="1:4" x14ac:dyDescent="0.25">
      <c r="A13" s="19" t="s">
        <v>216</v>
      </c>
      <c r="B13" s="42">
        <v>39</v>
      </c>
      <c r="C13" s="41">
        <v>320</v>
      </c>
      <c r="D13" s="43">
        <f t="shared" si="0"/>
        <v>12480</v>
      </c>
    </row>
    <row r="15" spans="1:4" x14ac:dyDescent="0.25">
      <c r="B15" s="102" t="s">
        <v>209</v>
      </c>
      <c r="C15" s="103"/>
      <c r="D15" s="26">
        <f>SUM(D9:D13)</f>
        <v>42790</v>
      </c>
    </row>
    <row r="16" spans="1:4" x14ac:dyDescent="0.25">
      <c r="B16" s="39" t="s">
        <v>201</v>
      </c>
      <c r="C16" s="54">
        <v>0.18</v>
      </c>
      <c r="D16" s="26">
        <f>$D$15*C16</f>
        <v>7702.2</v>
      </c>
    </row>
    <row r="17" spans="2:4" x14ac:dyDescent="0.25">
      <c r="B17" s="39" t="s">
        <v>202</v>
      </c>
      <c r="C17" s="53">
        <v>0.05</v>
      </c>
      <c r="D17" s="26">
        <f>$D$15*C17</f>
        <v>2139.5</v>
      </c>
    </row>
    <row r="18" spans="2:4" x14ac:dyDescent="0.25">
      <c r="B18" s="102" t="s">
        <v>200</v>
      </c>
      <c r="C18" s="103"/>
      <c r="D18" s="26">
        <f>SUM(D15:D17)</f>
        <v>52631.7</v>
      </c>
    </row>
  </sheetData>
  <mergeCells count="8">
    <mergeCell ref="A1:D1"/>
    <mergeCell ref="A7:D7"/>
    <mergeCell ref="B15:C15"/>
    <mergeCell ref="B18:C18"/>
    <mergeCell ref="B2:D2"/>
    <mergeCell ref="B3:D3"/>
    <mergeCell ref="B4:D4"/>
    <mergeCell ref="B5:D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0F3AF-F23A-43F7-9256-3E15A368517C}">
  <dimension ref="A1:G11"/>
  <sheetViews>
    <sheetView workbookViewId="0">
      <selection activeCell="G11" sqref="G11"/>
    </sheetView>
  </sheetViews>
  <sheetFormatPr defaultColWidth="18.28515625" defaultRowHeight="15" x14ac:dyDescent="0.25"/>
  <sheetData>
    <row r="1" spans="1:7" ht="15.75" x14ac:dyDescent="0.25">
      <c r="A1" s="118" t="s">
        <v>217</v>
      </c>
      <c r="B1" s="119"/>
      <c r="C1" s="119"/>
      <c r="D1" s="119"/>
      <c r="E1" s="119"/>
      <c r="F1" s="119"/>
      <c r="G1" s="119"/>
    </row>
    <row r="2" spans="1:7" ht="47.25" x14ac:dyDescent="0.25">
      <c r="A2" s="55" t="s">
        <v>218</v>
      </c>
      <c r="B2" s="55" t="s">
        <v>219</v>
      </c>
      <c r="C2" s="55" t="s">
        <v>220</v>
      </c>
      <c r="D2" s="55" t="s">
        <v>221</v>
      </c>
      <c r="E2" s="55" t="s">
        <v>222</v>
      </c>
      <c r="F2" s="55" t="s">
        <v>224</v>
      </c>
      <c r="G2" s="55" t="s">
        <v>223</v>
      </c>
    </row>
    <row r="3" spans="1:7" x14ac:dyDescent="0.25">
      <c r="A3" s="42">
        <v>12748</v>
      </c>
      <c r="B3" s="56" t="s">
        <v>225</v>
      </c>
      <c r="C3" s="34">
        <v>150</v>
      </c>
      <c r="D3" s="46">
        <v>1.5599999999999999E-2</v>
      </c>
      <c r="E3" s="42">
        <v>7</v>
      </c>
      <c r="F3" s="41">
        <f>C3*D3*E3</f>
        <v>16.38</v>
      </c>
      <c r="G3" s="41">
        <f>SUM(F3,C3)</f>
        <v>166.38</v>
      </c>
    </row>
    <row r="4" spans="1:7" x14ac:dyDescent="0.25">
      <c r="A4" s="42">
        <v>9105</v>
      </c>
      <c r="B4" s="56" t="s">
        <v>232</v>
      </c>
      <c r="C4" s="34">
        <v>500</v>
      </c>
      <c r="D4" s="46">
        <v>2.47E-2</v>
      </c>
      <c r="E4" s="42">
        <v>2</v>
      </c>
      <c r="F4" s="41">
        <f t="shared" ref="F4:F10" si="0">C4*D4*E4</f>
        <v>24.7</v>
      </c>
      <c r="G4" s="41">
        <f t="shared" ref="G4:G11" si="1">SUM(F4,C4)</f>
        <v>524.70000000000005</v>
      </c>
    </row>
    <row r="5" spans="1:7" x14ac:dyDescent="0.25">
      <c r="A5" s="42">
        <v>4478</v>
      </c>
      <c r="B5" s="56" t="s">
        <v>226</v>
      </c>
      <c r="C5" s="34">
        <v>300</v>
      </c>
      <c r="D5" s="46">
        <v>1.2699999999999999E-2</v>
      </c>
      <c r="E5" s="42">
        <v>8</v>
      </c>
      <c r="F5" s="41">
        <f t="shared" si="0"/>
        <v>30.48</v>
      </c>
      <c r="G5" s="41">
        <f t="shared" si="1"/>
        <v>330.48</v>
      </c>
    </row>
    <row r="6" spans="1:7" x14ac:dyDescent="0.25">
      <c r="A6" s="42">
        <v>1275</v>
      </c>
      <c r="B6" s="56" t="s">
        <v>227</v>
      </c>
      <c r="C6" s="34">
        <v>400</v>
      </c>
      <c r="D6" s="46">
        <v>2.5000000000000001E-2</v>
      </c>
      <c r="E6" s="42">
        <v>10</v>
      </c>
      <c r="F6" s="41">
        <f t="shared" si="0"/>
        <v>100</v>
      </c>
      <c r="G6" s="41">
        <f t="shared" si="1"/>
        <v>500</v>
      </c>
    </row>
    <row r="7" spans="1:7" x14ac:dyDescent="0.25">
      <c r="A7" s="42">
        <v>6354</v>
      </c>
      <c r="B7" s="56" t="s">
        <v>228</v>
      </c>
      <c r="C7" s="34">
        <v>200</v>
      </c>
      <c r="D7" s="46">
        <v>2.8000000000000001E-2</v>
      </c>
      <c r="E7" s="42">
        <v>8</v>
      </c>
      <c r="F7" s="41">
        <f t="shared" si="0"/>
        <v>44.800000000000004</v>
      </c>
      <c r="G7" s="41">
        <f t="shared" si="1"/>
        <v>244.8</v>
      </c>
    </row>
    <row r="8" spans="1:7" x14ac:dyDescent="0.25">
      <c r="A8" s="42">
        <v>9001</v>
      </c>
      <c r="B8" s="56" t="s">
        <v>229</v>
      </c>
      <c r="C8" s="34">
        <v>100</v>
      </c>
      <c r="D8" s="46">
        <v>3.6999999999999998E-2</v>
      </c>
      <c r="E8" s="42">
        <v>15</v>
      </c>
      <c r="F8" s="41">
        <f t="shared" si="0"/>
        <v>55.499999999999993</v>
      </c>
      <c r="G8" s="41">
        <f t="shared" si="1"/>
        <v>155.5</v>
      </c>
    </row>
    <row r="9" spans="1:7" x14ac:dyDescent="0.25">
      <c r="A9" s="42">
        <v>2748</v>
      </c>
      <c r="B9" s="56" t="s">
        <v>230</v>
      </c>
      <c r="C9" s="34">
        <v>520</v>
      </c>
      <c r="D9" s="46">
        <v>1.2200000000000001E-2</v>
      </c>
      <c r="E9" s="42">
        <v>18</v>
      </c>
      <c r="F9" s="41">
        <f t="shared" si="0"/>
        <v>114.19200000000001</v>
      </c>
      <c r="G9" s="41">
        <f t="shared" si="1"/>
        <v>634.19200000000001</v>
      </c>
    </row>
    <row r="10" spans="1:7" x14ac:dyDescent="0.25">
      <c r="A10" s="42">
        <v>1219</v>
      </c>
      <c r="B10" s="56" t="s">
        <v>231</v>
      </c>
      <c r="C10" s="34">
        <v>890</v>
      </c>
      <c r="D10" s="46">
        <v>2.4400000000000002E-2</v>
      </c>
      <c r="E10" s="42">
        <v>12</v>
      </c>
      <c r="F10" s="41">
        <f t="shared" si="0"/>
        <v>260.59199999999998</v>
      </c>
      <c r="G10" s="41">
        <f t="shared" si="1"/>
        <v>1150.5920000000001</v>
      </c>
    </row>
    <row r="11" spans="1:7" x14ac:dyDescent="0.25">
      <c r="C11" s="69">
        <v>200</v>
      </c>
      <c r="D11" s="46">
        <v>0.17</v>
      </c>
      <c r="E11" s="42">
        <v>7</v>
      </c>
      <c r="F11" s="41">
        <f t="shared" ref="F11" si="2">C11*D11*E11</f>
        <v>238</v>
      </c>
      <c r="G11" s="70">
        <f t="shared" si="1"/>
        <v>438</v>
      </c>
    </row>
  </sheetData>
  <mergeCells count="1">
    <mergeCell ref="A1:G1"/>
  </mergeCells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054B5-25A7-41EB-9A1B-20B533475097}">
  <dimension ref="A1:E12"/>
  <sheetViews>
    <sheetView workbookViewId="0">
      <selection activeCell="B9" sqref="B9"/>
    </sheetView>
  </sheetViews>
  <sheetFormatPr defaultColWidth="18.28515625" defaultRowHeight="15" x14ac:dyDescent="0.25"/>
  <cols>
    <col min="3" max="3" width="3.42578125" customWidth="1"/>
    <col min="4" max="4" width="45.7109375" customWidth="1"/>
    <col min="5" max="5" width="9.140625" customWidth="1"/>
  </cols>
  <sheetData>
    <row r="1" spans="1:5" x14ac:dyDescent="0.25">
      <c r="A1" s="100" t="s">
        <v>234</v>
      </c>
      <c r="B1" s="101"/>
      <c r="D1" s="105" t="s">
        <v>237</v>
      </c>
      <c r="E1" s="107"/>
    </row>
    <row r="2" spans="1:5" x14ac:dyDescent="0.25">
      <c r="A2" s="40"/>
      <c r="B2" s="40"/>
      <c r="D2" s="58" t="s">
        <v>238</v>
      </c>
      <c r="E2" s="40">
        <f>COUNTBLANK(A2:B12)</f>
        <v>8</v>
      </c>
    </row>
    <row r="3" spans="1:5" x14ac:dyDescent="0.25">
      <c r="A3" s="40" t="s">
        <v>233</v>
      </c>
      <c r="B3" s="40" t="s">
        <v>235</v>
      </c>
      <c r="D3" s="58" t="s">
        <v>239</v>
      </c>
      <c r="E3" s="40">
        <f>COUNTA(A2:B12)</f>
        <v>14</v>
      </c>
    </row>
    <row r="4" spans="1:5" x14ac:dyDescent="0.25">
      <c r="A4" s="40">
        <v>525</v>
      </c>
      <c r="B4" s="40">
        <v>718</v>
      </c>
      <c r="D4" s="58" t="s">
        <v>240</v>
      </c>
      <c r="E4" s="40">
        <f>COUNT(A2:B12)</f>
        <v>7</v>
      </c>
    </row>
    <row r="5" spans="1:5" x14ac:dyDescent="0.25">
      <c r="A5" s="40"/>
      <c r="B5" s="40"/>
      <c r="D5" s="58" t="s">
        <v>241</v>
      </c>
      <c r="E5" s="40">
        <f>COUNTIF(A2:B12,"&gt;500")</f>
        <v>4</v>
      </c>
    </row>
    <row r="6" spans="1:5" x14ac:dyDescent="0.25">
      <c r="A6" s="40">
        <v>3</v>
      </c>
      <c r="B6" s="40"/>
    </row>
    <row r="7" spans="1:5" x14ac:dyDescent="0.25">
      <c r="A7" s="40">
        <v>552</v>
      </c>
      <c r="B7" s="40">
        <v>911</v>
      </c>
    </row>
    <row r="8" spans="1:5" x14ac:dyDescent="0.25">
      <c r="A8" s="40">
        <v>250</v>
      </c>
      <c r="B8" s="40">
        <v>98</v>
      </c>
    </row>
    <row r="9" spans="1:5" x14ac:dyDescent="0.25">
      <c r="A9" s="40"/>
      <c r="B9" s="40"/>
    </row>
    <row r="10" spans="1:5" x14ac:dyDescent="0.25">
      <c r="A10" s="40" t="s">
        <v>236</v>
      </c>
      <c r="B10" s="40" t="b">
        <v>0</v>
      </c>
    </row>
    <row r="11" spans="1:5" x14ac:dyDescent="0.25">
      <c r="A11" s="40"/>
      <c r="B11" s="40" t="e">
        <v>#N/A</v>
      </c>
    </row>
    <row r="12" spans="1:5" x14ac:dyDescent="0.25">
      <c r="A12" s="40" t="b">
        <v>1</v>
      </c>
      <c r="B12" s="40" t="e">
        <v>#NAME?</v>
      </c>
    </row>
  </sheetData>
  <mergeCells count="2">
    <mergeCell ref="A1:B1"/>
    <mergeCell ref="D1:E1"/>
  </mergeCells>
  <pageMargins left="0.511811024" right="0.511811024" top="0.78740157499999996" bottom="0.78740157499999996" header="0.31496062000000002" footer="0.3149606200000000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2066E-1EC3-4B85-B2F5-9128E207693E}">
  <dimension ref="A1:N11"/>
  <sheetViews>
    <sheetView workbookViewId="0">
      <selection activeCell="N3" sqref="N3"/>
    </sheetView>
  </sheetViews>
  <sheetFormatPr defaultColWidth="18.28515625" defaultRowHeight="15" x14ac:dyDescent="0.25"/>
  <cols>
    <col min="2" max="2" width="3.42578125" customWidth="1"/>
    <col min="4" max="4" width="3.42578125" customWidth="1"/>
    <col min="6" max="6" width="3.42578125" customWidth="1"/>
    <col min="9" max="9" width="3.42578125" customWidth="1"/>
    <col min="12" max="12" width="3.42578125" customWidth="1"/>
  </cols>
  <sheetData>
    <row r="1" spans="1:14" x14ac:dyDescent="0.25">
      <c r="A1" s="100" t="s">
        <v>242</v>
      </c>
      <c r="B1" s="100"/>
      <c r="C1" s="100"/>
      <c r="D1" s="100"/>
      <c r="E1" s="100"/>
      <c r="G1" s="100" t="s">
        <v>237</v>
      </c>
      <c r="H1" s="101"/>
      <c r="I1" s="101"/>
      <c r="J1" s="101"/>
      <c r="K1" s="101"/>
      <c r="L1" s="101"/>
      <c r="M1" s="101"/>
      <c r="N1" s="101"/>
    </row>
    <row r="2" spans="1:14" ht="22.5" customHeight="1" x14ac:dyDescent="0.25">
      <c r="A2" s="48" t="s">
        <v>243</v>
      </c>
      <c r="B2" s="7"/>
      <c r="C2" s="48" t="s">
        <v>244</v>
      </c>
      <c r="D2" s="7"/>
      <c r="E2" s="48" t="s">
        <v>245</v>
      </c>
      <c r="G2" s="120" t="s">
        <v>246</v>
      </c>
      <c r="H2" s="120"/>
      <c r="I2" s="7"/>
      <c r="J2" s="101" t="s">
        <v>247</v>
      </c>
      <c r="K2" s="101"/>
      <c r="L2" s="7"/>
      <c r="M2" s="101" t="s">
        <v>248</v>
      </c>
      <c r="N2" s="101"/>
    </row>
    <row r="3" spans="1:14" x14ac:dyDescent="0.25">
      <c r="A3" s="40" t="s">
        <v>249</v>
      </c>
      <c r="B3" s="7"/>
      <c r="C3" s="40" t="s">
        <v>252</v>
      </c>
      <c r="D3" s="7"/>
      <c r="E3" s="40">
        <v>3</v>
      </c>
      <c r="G3" s="40" t="s">
        <v>249</v>
      </c>
      <c r="H3" s="40">
        <f>COUNTIF($A$3:$A$11,G3)</f>
        <v>3</v>
      </c>
      <c r="I3" s="7"/>
      <c r="J3" s="40" t="s">
        <v>252</v>
      </c>
      <c r="K3" s="40">
        <f>COUNTIF($C$3:$C$11,J3)</f>
        <v>3</v>
      </c>
      <c r="L3" s="7"/>
      <c r="M3" s="40" t="s">
        <v>255</v>
      </c>
      <c r="N3" s="40">
        <f>COUNTIF($E$3:$E$11,M3)</f>
        <v>2</v>
      </c>
    </row>
    <row r="4" spans="1:14" x14ac:dyDescent="0.25">
      <c r="A4" s="40" t="s">
        <v>229</v>
      </c>
      <c r="B4" s="7"/>
      <c r="C4" s="40" t="s">
        <v>253</v>
      </c>
      <c r="D4" s="7"/>
      <c r="E4" s="40">
        <v>8</v>
      </c>
      <c r="G4" s="40" t="s">
        <v>229</v>
      </c>
      <c r="H4" s="40">
        <f t="shared" ref="H4:H7" si="0">COUNTIF($A$3:$A$11,G4)</f>
        <v>2</v>
      </c>
      <c r="I4" s="7"/>
      <c r="J4" s="40" t="s">
        <v>253</v>
      </c>
      <c r="K4" s="40">
        <f t="shared" ref="K4:K5" si="1">COUNTIF($C$3:$C$11,J4)</f>
        <v>2</v>
      </c>
      <c r="L4" s="7"/>
      <c r="M4" s="40" t="s">
        <v>256</v>
      </c>
      <c r="N4" s="40">
        <f t="shared" ref="N4:N5" si="2">COUNTIF($E$3:$E$11,M4)</f>
        <v>6</v>
      </c>
    </row>
    <row r="5" spans="1:14" x14ac:dyDescent="0.25">
      <c r="A5" s="40" t="s">
        <v>250</v>
      </c>
      <c r="B5" s="7"/>
      <c r="C5" s="40" t="s">
        <v>254</v>
      </c>
      <c r="D5" s="7"/>
      <c r="E5" s="40">
        <v>5</v>
      </c>
      <c r="G5" s="40" t="s">
        <v>250</v>
      </c>
      <c r="H5" s="40">
        <f t="shared" si="0"/>
        <v>2</v>
      </c>
      <c r="I5" s="7"/>
      <c r="J5" s="40" t="s">
        <v>254</v>
      </c>
      <c r="K5" s="40">
        <f t="shared" si="1"/>
        <v>4</v>
      </c>
      <c r="L5" s="7"/>
      <c r="M5" s="40">
        <v>5</v>
      </c>
      <c r="N5" s="40">
        <f t="shared" si="2"/>
        <v>1</v>
      </c>
    </row>
    <row r="6" spans="1:14" x14ac:dyDescent="0.25">
      <c r="A6" s="40" t="s">
        <v>251</v>
      </c>
      <c r="B6" s="7"/>
      <c r="C6" s="40" t="s">
        <v>253</v>
      </c>
      <c r="D6" s="7"/>
      <c r="E6" s="40">
        <v>4</v>
      </c>
      <c r="G6" s="40" t="s">
        <v>251</v>
      </c>
      <c r="H6" s="40">
        <f t="shared" si="0"/>
        <v>1</v>
      </c>
      <c r="I6" s="7"/>
      <c r="J6" s="7"/>
      <c r="K6" s="7"/>
      <c r="L6" s="7"/>
      <c r="M6" s="7"/>
      <c r="N6" s="7"/>
    </row>
    <row r="7" spans="1:14" x14ac:dyDescent="0.25">
      <c r="A7" s="40" t="s">
        <v>249</v>
      </c>
      <c r="B7" s="7"/>
      <c r="C7" s="40" t="s">
        <v>252</v>
      </c>
      <c r="D7" s="7"/>
      <c r="E7" s="40">
        <v>2</v>
      </c>
      <c r="G7" s="40" t="s">
        <v>225</v>
      </c>
      <c r="H7" s="40">
        <f t="shared" si="0"/>
        <v>1</v>
      </c>
      <c r="I7" s="7"/>
      <c r="J7" s="7"/>
      <c r="K7" s="7"/>
      <c r="L7" s="7"/>
      <c r="M7" s="7"/>
      <c r="N7" s="7"/>
    </row>
    <row r="8" spans="1:14" x14ac:dyDescent="0.25">
      <c r="A8" s="40" t="s">
        <v>225</v>
      </c>
      <c r="B8" s="7"/>
      <c r="C8" s="40" t="s">
        <v>254</v>
      </c>
      <c r="D8" s="7"/>
      <c r="E8" s="40">
        <v>3</v>
      </c>
    </row>
    <row r="9" spans="1:14" x14ac:dyDescent="0.25">
      <c r="A9" s="40" t="s">
        <v>229</v>
      </c>
      <c r="B9" s="7"/>
      <c r="C9" s="40" t="s">
        <v>252</v>
      </c>
      <c r="D9" s="7"/>
      <c r="E9" s="40">
        <v>6</v>
      </c>
    </row>
    <row r="10" spans="1:14" x14ac:dyDescent="0.25">
      <c r="A10" s="40" t="s">
        <v>249</v>
      </c>
      <c r="B10" s="7"/>
      <c r="C10" s="40" t="s">
        <v>254</v>
      </c>
      <c r="D10" s="7"/>
      <c r="E10" s="40">
        <v>1</v>
      </c>
    </row>
    <row r="11" spans="1:14" x14ac:dyDescent="0.25">
      <c r="A11" s="40" t="s">
        <v>250</v>
      </c>
      <c r="B11" s="7"/>
      <c r="C11" s="40" t="s">
        <v>254</v>
      </c>
      <c r="D11" s="7"/>
      <c r="E11" s="40">
        <v>2</v>
      </c>
    </row>
  </sheetData>
  <mergeCells count="5">
    <mergeCell ref="A1:E1"/>
    <mergeCell ref="G1:N1"/>
    <mergeCell ref="G2:H2"/>
    <mergeCell ref="J2:K2"/>
    <mergeCell ref="M2:N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B5E0B-A773-46F3-B50E-5F45ACBC2B46}">
  <dimension ref="A1:I22"/>
  <sheetViews>
    <sheetView workbookViewId="0">
      <selection activeCell="H4" sqref="H4"/>
    </sheetView>
  </sheetViews>
  <sheetFormatPr defaultColWidth="18.28515625" defaultRowHeight="15" x14ac:dyDescent="0.25"/>
  <cols>
    <col min="6" max="6" width="3.42578125" customWidth="1"/>
    <col min="8" max="8" width="27.42578125" customWidth="1"/>
  </cols>
  <sheetData>
    <row r="1" spans="1:9" x14ac:dyDescent="0.25">
      <c r="A1" s="121" t="s">
        <v>257</v>
      </c>
      <c r="B1" s="122"/>
      <c r="C1" s="122"/>
      <c r="D1" s="122"/>
      <c r="E1" s="123"/>
      <c r="G1" s="108" t="s">
        <v>263</v>
      </c>
      <c r="H1" s="108"/>
      <c r="I1" s="108"/>
    </row>
    <row r="2" spans="1:9" ht="42" customHeight="1" x14ac:dyDescent="0.25">
      <c r="A2" s="38" t="s">
        <v>258</v>
      </c>
      <c r="B2" s="38" t="s">
        <v>259</v>
      </c>
      <c r="C2" s="57" t="s">
        <v>262</v>
      </c>
      <c r="D2" s="38" t="s">
        <v>260</v>
      </c>
      <c r="E2" s="38" t="s">
        <v>261</v>
      </c>
      <c r="F2" s="7"/>
      <c r="G2" s="38" t="s">
        <v>258</v>
      </c>
      <c r="H2" s="38" t="s">
        <v>264</v>
      </c>
      <c r="I2" s="38" t="s">
        <v>265</v>
      </c>
    </row>
    <row r="3" spans="1:9" x14ac:dyDescent="0.25">
      <c r="A3" s="45" t="s">
        <v>268</v>
      </c>
      <c r="B3" s="40">
        <v>24</v>
      </c>
      <c r="C3" s="37">
        <v>80</v>
      </c>
      <c r="D3" s="42">
        <v>3620</v>
      </c>
      <c r="E3" s="37">
        <f t="shared" ref="E3:E22" si="0">C3*D3</f>
        <v>289600</v>
      </c>
      <c r="G3" s="45" t="s">
        <v>266</v>
      </c>
      <c r="H3" s="40">
        <f>SUMIF($A$3:$A$22,$G3,D$3:D$22)</f>
        <v>6851</v>
      </c>
      <c r="I3" s="41">
        <f>SUMIF($A$3:$A$22,$G3,E$3:E$22)</f>
        <v>320558</v>
      </c>
    </row>
    <row r="4" spans="1:9" x14ac:dyDescent="0.25">
      <c r="A4" s="45" t="s">
        <v>268</v>
      </c>
      <c r="B4" s="40">
        <v>10</v>
      </c>
      <c r="C4" s="37">
        <v>56</v>
      </c>
      <c r="D4" s="42">
        <v>1350</v>
      </c>
      <c r="E4" s="37">
        <f t="shared" si="0"/>
        <v>75600</v>
      </c>
      <c r="G4" s="45" t="s">
        <v>272</v>
      </c>
      <c r="H4" s="40">
        <f t="shared" ref="H4:I8" si="1">SUMIF($A$3:$A$22,$G4,D$3:D$22)</f>
        <v>13341</v>
      </c>
      <c r="I4" s="41">
        <f t="shared" si="1"/>
        <v>591345</v>
      </c>
    </row>
    <row r="5" spans="1:9" x14ac:dyDescent="0.25">
      <c r="A5" s="45" t="s">
        <v>268</v>
      </c>
      <c r="B5" s="40">
        <v>16</v>
      </c>
      <c r="C5" s="37">
        <v>81</v>
      </c>
      <c r="D5" s="42">
        <v>1255</v>
      </c>
      <c r="E5" s="37">
        <f t="shared" si="0"/>
        <v>101655</v>
      </c>
      <c r="G5" s="45" t="s">
        <v>267</v>
      </c>
      <c r="H5" s="40">
        <f t="shared" si="1"/>
        <v>10329</v>
      </c>
      <c r="I5" s="41">
        <f t="shared" si="1"/>
        <v>403393</v>
      </c>
    </row>
    <row r="6" spans="1:9" x14ac:dyDescent="0.25">
      <c r="A6" s="45" t="s">
        <v>266</v>
      </c>
      <c r="B6" s="40">
        <v>27</v>
      </c>
      <c r="C6" s="37">
        <v>58</v>
      </c>
      <c r="D6" s="42">
        <v>3251</v>
      </c>
      <c r="E6" s="37">
        <f t="shared" si="0"/>
        <v>188558</v>
      </c>
      <c r="G6" s="45" t="s">
        <v>268</v>
      </c>
      <c r="H6" s="40">
        <f t="shared" si="1"/>
        <v>6225</v>
      </c>
      <c r="I6" s="41">
        <f t="shared" si="1"/>
        <v>466855</v>
      </c>
    </row>
    <row r="7" spans="1:9" x14ac:dyDescent="0.25">
      <c r="A7" s="45" t="s">
        <v>266</v>
      </c>
      <c r="B7" s="40">
        <v>10</v>
      </c>
      <c r="C7" s="37">
        <v>29</v>
      </c>
      <c r="D7" s="42">
        <v>1200</v>
      </c>
      <c r="E7" s="37">
        <f t="shared" si="0"/>
        <v>34800</v>
      </c>
      <c r="G7" s="45" t="s">
        <v>269</v>
      </c>
      <c r="H7" s="40">
        <f>SUMIF($A$3:$A$22,$G7,D$3:D$22)</f>
        <v>8801</v>
      </c>
      <c r="I7" s="41">
        <f>SUMIF($A$3:$A$22,$G7,E$3:E$22)</f>
        <v>307141</v>
      </c>
    </row>
    <row r="8" spans="1:9" x14ac:dyDescent="0.25">
      <c r="A8" s="45" t="s">
        <v>266</v>
      </c>
      <c r="B8" s="40">
        <v>10</v>
      </c>
      <c r="C8" s="37">
        <v>31</v>
      </c>
      <c r="D8" s="42">
        <v>1200</v>
      </c>
      <c r="E8" s="37">
        <f t="shared" si="0"/>
        <v>37200</v>
      </c>
      <c r="G8" s="45" t="s">
        <v>270</v>
      </c>
      <c r="H8" s="40">
        <f t="shared" si="1"/>
        <v>1200</v>
      </c>
      <c r="I8" s="41">
        <f t="shared" si="1"/>
        <v>54000</v>
      </c>
    </row>
    <row r="9" spans="1:9" x14ac:dyDescent="0.25">
      <c r="A9" s="45" t="s">
        <v>266</v>
      </c>
      <c r="B9" s="40">
        <v>17</v>
      </c>
      <c r="C9" s="37">
        <v>50</v>
      </c>
      <c r="D9" s="42">
        <v>1200</v>
      </c>
      <c r="E9" s="37">
        <f t="shared" si="0"/>
        <v>60000</v>
      </c>
      <c r="G9" s="40" t="s">
        <v>271</v>
      </c>
      <c r="H9" s="40">
        <f>SUM(H3:H8)</f>
        <v>46747</v>
      </c>
      <c r="I9" s="41">
        <f>SUM(I3:I8)</f>
        <v>2143292</v>
      </c>
    </row>
    <row r="10" spans="1:9" x14ac:dyDescent="0.25">
      <c r="A10" s="45" t="s">
        <v>272</v>
      </c>
      <c r="B10" s="40">
        <v>21</v>
      </c>
      <c r="C10" s="59">
        <v>45</v>
      </c>
      <c r="D10" s="42">
        <v>1541</v>
      </c>
      <c r="E10" s="37">
        <f t="shared" si="0"/>
        <v>69345</v>
      </c>
    </row>
    <row r="11" spans="1:9" x14ac:dyDescent="0.25">
      <c r="A11" s="45" t="s">
        <v>272</v>
      </c>
      <c r="B11" s="40">
        <v>10</v>
      </c>
      <c r="C11" s="37">
        <v>18</v>
      </c>
      <c r="D11" s="42">
        <v>5400</v>
      </c>
      <c r="E11" s="37">
        <f t="shared" si="0"/>
        <v>97200</v>
      </c>
    </row>
    <row r="12" spans="1:9" x14ac:dyDescent="0.25">
      <c r="A12" s="45" t="s">
        <v>272</v>
      </c>
      <c r="B12" s="40">
        <v>22</v>
      </c>
      <c r="C12" s="37">
        <v>29</v>
      </c>
      <c r="D12" s="42">
        <v>1200</v>
      </c>
      <c r="E12" s="37">
        <f t="shared" si="0"/>
        <v>34800</v>
      </c>
    </row>
    <row r="13" spans="1:9" x14ac:dyDescent="0.25">
      <c r="A13" s="45" t="s">
        <v>272</v>
      </c>
      <c r="B13" s="40">
        <v>15</v>
      </c>
      <c r="C13" s="37">
        <v>75</v>
      </c>
      <c r="D13" s="42">
        <v>5200</v>
      </c>
      <c r="E13" s="37">
        <f t="shared" si="0"/>
        <v>390000</v>
      </c>
    </row>
    <row r="14" spans="1:9" x14ac:dyDescent="0.25">
      <c r="A14" s="45" t="s">
        <v>267</v>
      </c>
      <c r="B14" s="40">
        <v>26</v>
      </c>
      <c r="C14" s="37">
        <v>32</v>
      </c>
      <c r="D14" s="42">
        <v>3220</v>
      </c>
      <c r="E14" s="37">
        <f>C14*D14</f>
        <v>103040</v>
      </c>
    </row>
    <row r="15" spans="1:9" x14ac:dyDescent="0.25">
      <c r="A15" s="45" t="s">
        <v>267</v>
      </c>
      <c r="B15" s="40">
        <v>19</v>
      </c>
      <c r="C15" s="37">
        <v>47</v>
      </c>
      <c r="D15" s="42">
        <v>2355</v>
      </c>
      <c r="E15" s="37">
        <f t="shared" si="0"/>
        <v>110685</v>
      </c>
    </row>
    <row r="16" spans="1:9" x14ac:dyDescent="0.25">
      <c r="A16" s="45" t="s">
        <v>267</v>
      </c>
      <c r="B16" s="40">
        <v>20</v>
      </c>
      <c r="C16" s="37">
        <v>42</v>
      </c>
      <c r="D16" s="42">
        <v>1254</v>
      </c>
      <c r="E16" s="37">
        <f t="shared" si="0"/>
        <v>52668</v>
      </c>
    </row>
    <row r="17" spans="1:5" x14ac:dyDescent="0.25">
      <c r="A17" s="45" t="s">
        <v>267</v>
      </c>
      <c r="B17" s="40">
        <v>28</v>
      </c>
      <c r="C17" s="37">
        <v>38</v>
      </c>
      <c r="D17" s="42">
        <v>2500</v>
      </c>
      <c r="E17" s="37">
        <f t="shared" si="0"/>
        <v>95000</v>
      </c>
    </row>
    <row r="18" spans="1:5" x14ac:dyDescent="0.25">
      <c r="A18" s="45" t="s">
        <v>267</v>
      </c>
      <c r="B18" s="40">
        <v>29</v>
      </c>
      <c r="C18" s="37">
        <v>42</v>
      </c>
      <c r="D18" s="42">
        <v>1000</v>
      </c>
      <c r="E18" s="37">
        <f t="shared" si="0"/>
        <v>42000</v>
      </c>
    </row>
    <row r="19" spans="1:5" x14ac:dyDescent="0.25">
      <c r="A19" s="45" t="s">
        <v>270</v>
      </c>
      <c r="B19" s="40">
        <v>18</v>
      </c>
      <c r="C19" s="37">
        <v>45</v>
      </c>
      <c r="D19" s="42">
        <v>1200</v>
      </c>
      <c r="E19" s="37">
        <f t="shared" si="0"/>
        <v>54000</v>
      </c>
    </row>
    <row r="20" spans="1:5" x14ac:dyDescent="0.25">
      <c r="A20" s="45" t="s">
        <v>269</v>
      </c>
      <c r="B20" s="40">
        <v>14</v>
      </c>
      <c r="C20" s="37">
        <v>32</v>
      </c>
      <c r="D20" s="42">
        <v>6500</v>
      </c>
      <c r="E20" s="37">
        <f t="shared" si="0"/>
        <v>208000</v>
      </c>
    </row>
    <row r="21" spans="1:5" x14ac:dyDescent="0.25">
      <c r="A21" s="45" t="s">
        <v>269</v>
      </c>
      <c r="B21" s="40">
        <v>23</v>
      </c>
      <c r="C21" s="37">
        <v>45</v>
      </c>
      <c r="D21" s="42">
        <v>1200</v>
      </c>
      <c r="E21" s="37">
        <f t="shared" si="0"/>
        <v>54000</v>
      </c>
    </row>
    <row r="22" spans="1:5" x14ac:dyDescent="0.25">
      <c r="A22" s="45" t="s">
        <v>269</v>
      </c>
      <c r="B22" s="40">
        <v>25</v>
      </c>
      <c r="C22" s="37">
        <v>41</v>
      </c>
      <c r="D22" s="42">
        <v>1101</v>
      </c>
      <c r="E22" s="37">
        <f t="shared" si="0"/>
        <v>45141</v>
      </c>
    </row>
  </sheetData>
  <sortState ref="A3:E22">
    <sortCondition ref="A3"/>
  </sortState>
  <mergeCells count="2">
    <mergeCell ref="G1:I1"/>
    <mergeCell ref="A1:E1"/>
  </mergeCells>
  <pageMargins left="0.511811024" right="0.511811024" top="0.78740157499999996" bottom="0.78740157499999996" header="0.31496062000000002" footer="0.3149606200000000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720C-AAC4-40B3-8FCB-E8AB4E85B2DF}">
  <dimension ref="A1:I17"/>
  <sheetViews>
    <sheetView workbookViewId="0">
      <selection activeCell="C3" sqref="C3"/>
    </sheetView>
  </sheetViews>
  <sheetFormatPr defaultColWidth="18.28515625" defaultRowHeight="15" x14ac:dyDescent="0.25"/>
  <cols>
    <col min="8" max="8" width="22.85546875" customWidth="1"/>
  </cols>
  <sheetData>
    <row r="1" spans="1:9" x14ac:dyDescent="0.25">
      <c r="A1" s="100" t="s">
        <v>273</v>
      </c>
      <c r="B1" s="100"/>
      <c r="C1" s="100"/>
      <c r="D1" s="100"/>
      <c r="F1" s="100" t="s">
        <v>274</v>
      </c>
      <c r="G1" s="100"/>
      <c r="H1" s="100"/>
      <c r="I1" s="100"/>
    </row>
    <row r="2" spans="1:9" ht="36" customHeight="1" x14ac:dyDescent="0.25">
      <c r="A2" s="38" t="s">
        <v>275</v>
      </c>
      <c r="B2" s="38" t="s">
        <v>278</v>
      </c>
      <c r="C2" s="38" t="s">
        <v>258</v>
      </c>
      <c r="D2" s="38" t="s">
        <v>100</v>
      </c>
      <c r="F2" s="38" t="s">
        <v>275</v>
      </c>
      <c r="G2" s="38" t="s">
        <v>295</v>
      </c>
      <c r="H2" s="38" t="s">
        <v>276</v>
      </c>
      <c r="I2" s="38" t="s">
        <v>277</v>
      </c>
    </row>
    <row r="3" spans="1:9" x14ac:dyDescent="0.25">
      <c r="A3" s="45" t="s">
        <v>279</v>
      </c>
      <c r="B3" s="45" t="s">
        <v>283</v>
      </c>
      <c r="C3" s="45" t="s">
        <v>288</v>
      </c>
      <c r="D3" s="41">
        <v>444.69</v>
      </c>
      <c r="F3" s="40" t="s">
        <v>249</v>
      </c>
      <c r="G3" s="41">
        <f>SUMIF($A$3:$A$17,$F3,$D$3:$D$17)</f>
        <v>2004.02</v>
      </c>
      <c r="H3" s="62">
        <f>COUNTIF($A$3:$A$17,$F3)</f>
        <v>2</v>
      </c>
      <c r="I3" s="41">
        <f>I$9*G3</f>
        <v>200.40200000000002</v>
      </c>
    </row>
    <row r="4" spans="1:9" x14ac:dyDescent="0.25">
      <c r="A4" s="45" t="s">
        <v>281</v>
      </c>
      <c r="B4" s="45" t="s">
        <v>284</v>
      </c>
      <c r="C4" s="45" t="s">
        <v>289</v>
      </c>
      <c r="D4" s="41">
        <v>1671.12</v>
      </c>
      <c r="F4" s="40" t="s">
        <v>281</v>
      </c>
      <c r="G4" s="41">
        <f t="shared" ref="G4:G6" si="0">SUMIF($A$3:$A$17,$F4,$D$3:$D$17)</f>
        <v>3491.24</v>
      </c>
      <c r="H4" s="62">
        <f t="shared" ref="H4:H6" si="1">COUNTIF($A$3:$A$17,$F4)</f>
        <v>3</v>
      </c>
      <c r="I4" s="41">
        <f t="shared" ref="I4:I7" si="2">I$9*G4</f>
        <v>349.12400000000002</v>
      </c>
    </row>
    <row r="5" spans="1:9" x14ac:dyDescent="0.25">
      <c r="A5" s="45" t="s">
        <v>280</v>
      </c>
      <c r="B5" s="45" t="s">
        <v>285</v>
      </c>
      <c r="C5" s="45" t="s">
        <v>290</v>
      </c>
      <c r="D5" s="41">
        <v>149</v>
      </c>
      <c r="F5" s="40" t="s">
        <v>282</v>
      </c>
      <c r="G5" s="41">
        <f t="shared" si="0"/>
        <v>491.8</v>
      </c>
      <c r="H5" s="62">
        <f t="shared" si="1"/>
        <v>2</v>
      </c>
      <c r="I5" s="41">
        <f t="shared" si="2"/>
        <v>49.180000000000007</v>
      </c>
    </row>
    <row r="6" spans="1:9" x14ac:dyDescent="0.25">
      <c r="A6" s="45" t="s">
        <v>280</v>
      </c>
      <c r="B6" s="45" t="s">
        <v>285</v>
      </c>
      <c r="C6" s="45" t="s">
        <v>290</v>
      </c>
      <c r="D6" s="41">
        <v>149</v>
      </c>
      <c r="F6" s="40" t="s">
        <v>280</v>
      </c>
      <c r="G6" s="41">
        <f t="shared" si="0"/>
        <v>1075.5900000000001</v>
      </c>
      <c r="H6" s="62">
        <f t="shared" si="1"/>
        <v>4</v>
      </c>
      <c r="I6" s="41">
        <f t="shared" si="2"/>
        <v>107.55900000000003</v>
      </c>
    </row>
    <row r="7" spans="1:9" x14ac:dyDescent="0.25">
      <c r="A7" s="45" t="s">
        <v>281</v>
      </c>
      <c r="B7" s="45" t="s">
        <v>284</v>
      </c>
      <c r="C7" s="45" t="s">
        <v>289</v>
      </c>
      <c r="D7" s="41">
        <v>1671.12</v>
      </c>
      <c r="F7" s="40" t="s">
        <v>279</v>
      </c>
      <c r="G7" s="41">
        <f>SUMIF($A$3:$A$17,$F7,$D$3:$D$17)</f>
        <v>1483.07</v>
      </c>
      <c r="H7" s="62">
        <f>COUNTIF($A$3:$A$17,$F7)</f>
        <v>4</v>
      </c>
      <c r="I7" s="41">
        <f t="shared" si="2"/>
        <v>148.30699999999999</v>
      </c>
    </row>
    <row r="8" spans="1:9" x14ac:dyDescent="0.25">
      <c r="A8" s="45" t="s">
        <v>279</v>
      </c>
      <c r="B8" s="45" t="s">
        <v>283</v>
      </c>
      <c r="C8" s="45" t="s">
        <v>288</v>
      </c>
      <c r="D8" s="41">
        <v>444.69</v>
      </c>
    </row>
    <row r="9" spans="1:9" x14ac:dyDescent="0.25">
      <c r="A9" s="45" t="s">
        <v>279</v>
      </c>
      <c r="B9" s="45" t="s">
        <v>283</v>
      </c>
      <c r="C9" s="45" t="s">
        <v>288</v>
      </c>
      <c r="D9" s="41">
        <v>444.69</v>
      </c>
      <c r="F9" s="101" t="s">
        <v>293</v>
      </c>
      <c r="G9" s="101"/>
      <c r="H9" s="101"/>
      <c r="I9" s="53">
        <v>0.1</v>
      </c>
    </row>
    <row r="10" spans="1:9" x14ac:dyDescent="0.25">
      <c r="A10" s="45" t="s">
        <v>282</v>
      </c>
      <c r="B10" s="45" t="s">
        <v>286</v>
      </c>
      <c r="C10" s="45" t="s">
        <v>291</v>
      </c>
      <c r="D10" s="41">
        <v>245.9</v>
      </c>
      <c r="F10" s="101" t="s">
        <v>294</v>
      </c>
      <c r="G10" s="101"/>
      <c r="H10" s="101"/>
      <c r="I10" s="43">
        <f>SUM(I3:I7)</f>
        <v>854.57200000000012</v>
      </c>
    </row>
    <row r="11" spans="1:9" x14ac:dyDescent="0.25">
      <c r="A11" s="45" t="s">
        <v>282</v>
      </c>
      <c r="B11" s="45" t="s">
        <v>286</v>
      </c>
      <c r="C11" s="45" t="s">
        <v>291</v>
      </c>
      <c r="D11" s="41">
        <v>245.9</v>
      </c>
    </row>
    <row r="12" spans="1:9" x14ac:dyDescent="0.25">
      <c r="A12" s="45" t="s">
        <v>280</v>
      </c>
      <c r="B12" s="45" t="s">
        <v>283</v>
      </c>
      <c r="C12" s="45" t="s">
        <v>288</v>
      </c>
      <c r="D12" s="41">
        <v>444.69</v>
      </c>
    </row>
    <row r="13" spans="1:9" x14ac:dyDescent="0.25">
      <c r="A13" s="45" t="s">
        <v>281</v>
      </c>
      <c r="B13" s="45" t="s">
        <v>285</v>
      </c>
      <c r="C13" s="45" t="s">
        <v>290</v>
      </c>
      <c r="D13" s="41">
        <v>149</v>
      </c>
    </row>
    <row r="14" spans="1:9" x14ac:dyDescent="0.25">
      <c r="A14" s="45" t="s">
        <v>249</v>
      </c>
      <c r="B14" s="45" t="s">
        <v>284</v>
      </c>
      <c r="C14" s="45" t="s">
        <v>289</v>
      </c>
      <c r="D14" s="41">
        <v>1671.12</v>
      </c>
    </row>
    <row r="15" spans="1:9" x14ac:dyDescent="0.25">
      <c r="A15" s="45" t="s">
        <v>249</v>
      </c>
      <c r="B15" s="45" t="s">
        <v>287</v>
      </c>
      <c r="C15" s="45" t="s">
        <v>292</v>
      </c>
      <c r="D15" s="41">
        <v>332.9</v>
      </c>
    </row>
    <row r="16" spans="1:9" x14ac:dyDescent="0.25">
      <c r="A16" s="45" t="s">
        <v>280</v>
      </c>
      <c r="B16" s="45" t="s">
        <v>287</v>
      </c>
      <c r="C16" s="45" t="s">
        <v>292</v>
      </c>
      <c r="D16" s="41">
        <v>332.9</v>
      </c>
    </row>
    <row r="17" spans="1:4" x14ac:dyDescent="0.25">
      <c r="A17" s="45" t="s">
        <v>279</v>
      </c>
      <c r="B17" s="45" t="s">
        <v>285</v>
      </c>
      <c r="C17" s="45" t="s">
        <v>290</v>
      </c>
      <c r="D17" s="41">
        <v>149</v>
      </c>
    </row>
  </sheetData>
  <mergeCells count="4">
    <mergeCell ref="F1:I1"/>
    <mergeCell ref="F9:H9"/>
    <mergeCell ref="F10:H10"/>
    <mergeCell ref="A1:D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3D572-72BE-44B4-A2A3-720179FE701C}">
  <dimension ref="A1:E24"/>
  <sheetViews>
    <sheetView workbookViewId="0">
      <selection activeCell="E11" sqref="E11"/>
    </sheetView>
  </sheetViews>
  <sheetFormatPr defaultColWidth="18.28515625" defaultRowHeight="15" x14ac:dyDescent="0.25"/>
  <cols>
    <col min="3" max="3" width="3.42578125" customWidth="1"/>
  </cols>
  <sheetData>
    <row r="1" spans="1:5" x14ac:dyDescent="0.25">
      <c r="A1" s="100" t="s">
        <v>303</v>
      </c>
      <c r="B1" s="100"/>
      <c r="C1" s="100"/>
      <c r="D1" s="100"/>
      <c r="E1" s="100"/>
    </row>
    <row r="2" spans="1:5" x14ac:dyDescent="0.25">
      <c r="A2" s="60" t="s">
        <v>278</v>
      </c>
      <c r="B2" s="60" t="s">
        <v>100</v>
      </c>
      <c r="C2" s="7"/>
      <c r="D2" s="102" t="s">
        <v>296</v>
      </c>
      <c r="E2" s="103"/>
    </row>
    <row r="3" spans="1:5" x14ac:dyDescent="0.25">
      <c r="A3" s="45" t="s">
        <v>297</v>
      </c>
      <c r="B3" s="41">
        <v>26623</v>
      </c>
      <c r="C3" s="7"/>
      <c r="D3" s="63" t="s">
        <v>297</v>
      </c>
      <c r="E3" s="64">
        <f>SUMIF($A$3:$A$24,D3,$B$3:$B$24)</f>
        <v>50048</v>
      </c>
    </row>
    <row r="4" spans="1:5" x14ac:dyDescent="0.25">
      <c r="A4" s="45" t="s">
        <v>298</v>
      </c>
      <c r="B4" s="41">
        <v>30921</v>
      </c>
      <c r="C4" s="7"/>
      <c r="D4" s="63" t="s">
        <v>298</v>
      </c>
      <c r="E4" s="64">
        <f t="shared" ref="E4:E8" si="0">SUMIF($A$3:$A$24,D4,$B$3:$B$24)</f>
        <v>73756</v>
      </c>
    </row>
    <row r="5" spans="1:5" x14ac:dyDescent="0.25">
      <c r="A5" s="45" t="s">
        <v>301</v>
      </c>
      <c r="B5" s="41">
        <v>14265</v>
      </c>
      <c r="C5" s="7"/>
      <c r="D5" s="63" t="s">
        <v>299</v>
      </c>
      <c r="E5" s="64">
        <f t="shared" si="0"/>
        <v>82706</v>
      </c>
    </row>
    <row r="6" spans="1:5" x14ac:dyDescent="0.25">
      <c r="A6" s="45" t="s">
        <v>298</v>
      </c>
      <c r="B6" s="41">
        <v>39814</v>
      </c>
      <c r="C6" s="7"/>
      <c r="D6" s="63" t="s">
        <v>300</v>
      </c>
      <c r="E6" s="64">
        <f t="shared" si="0"/>
        <v>86104</v>
      </c>
    </row>
    <row r="7" spans="1:5" x14ac:dyDescent="0.25">
      <c r="A7" s="45" t="s">
        <v>300</v>
      </c>
      <c r="B7" s="41">
        <v>13735</v>
      </c>
      <c r="C7" s="7"/>
      <c r="D7" s="63" t="s">
        <v>304</v>
      </c>
      <c r="E7" s="64">
        <f t="shared" si="0"/>
        <v>86136</v>
      </c>
    </row>
    <row r="8" spans="1:5" x14ac:dyDescent="0.25">
      <c r="A8" s="45" t="s">
        <v>304</v>
      </c>
      <c r="B8" s="41">
        <v>18554</v>
      </c>
      <c r="C8" s="7"/>
      <c r="D8" s="63" t="s">
        <v>301</v>
      </c>
      <c r="E8" s="64">
        <f t="shared" si="0"/>
        <v>142730</v>
      </c>
    </row>
    <row r="9" spans="1:5" x14ac:dyDescent="0.25">
      <c r="A9" s="45" t="s">
        <v>299</v>
      </c>
      <c r="B9" s="41">
        <v>25478</v>
      </c>
      <c r="C9" s="7"/>
      <c r="D9" s="7"/>
      <c r="E9" s="7"/>
    </row>
    <row r="10" spans="1:5" x14ac:dyDescent="0.25">
      <c r="A10" s="45" t="s">
        <v>300</v>
      </c>
      <c r="B10" s="41">
        <v>20184</v>
      </c>
      <c r="C10" s="7"/>
      <c r="D10" s="102" t="s">
        <v>302</v>
      </c>
      <c r="E10" s="103"/>
    </row>
    <row r="11" spans="1:5" x14ac:dyDescent="0.25">
      <c r="A11" s="45" t="s">
        <v>301</v>
      </c>
      <c r="B11" s="41">
        <v>85654</v>
      </c>
      <c r="C11" s="7"/>
      <c r="D11" s="63" t="s">
        <v>297</v>
      </c>
      <c r="E11" s="64">
        <f>AVERAGEIF($A$3:$A$24,$D11,$B$3:$B$24)</f>
        <v>16682.666666666668</v>
      </c>
    </row>
    <row r="12" spans="1:5" x14ac:dyDescent="0.25">
      <c r="A12" s="45" t="s">
        <v>299</v>
      </c>
      <c r="B12" s="41">
        <v>11542</v>
      </c>
      <c r="C12" s="7"/>
      <c r="D12" s="63" t="s">
        <v>298</v>
      </c>
      <c r="E12" s="64">
        <f t="shared" ref="E12:E16" si="1">AVERAGEIF($A$3:$A$24,$D12,$B$3:$B$24)</f>
        <v>24585.333333333332</v>
      </c>
    </row>
    <row r="13" spans="1:5" x14ac:dyDescent="0.25">
      <c r="A13" s="45" t="s">
        <v>301</v>
      </c>
      <c r="B13" s="41">
        <v>37548</v>
      </c>
      <c r="C13" s="7"/>
      <c r="D13" s="63" t="s">
        <v>299</v>
      </c>
      <c r="E13" s="64">
        <f>AVERAGEIF($A$3:$A$24,$D13,$B$3:$B$24)</f>
        <v>13784.333333333334</v>
      </c>
    </row>
    <row r="14" spans="1:5" x14ac:dyDescent="0.25">
      <c r="A14" s="45" t="s">
        <v>299</v>
      </c>
      <c r="B14" s="41">
        <v>6523</v>
      </c>
      <c r="C14" s="7"/>
      <c r="D14" s="63" t="s">
        <v>300</v>
      </c>
      <c r="E14" s="64">
        <f t="shared" si="1"/>
        <v>28701.333333333332</v>
      </c>
    </row>
    <row r="15" spans="1:5" x14ac:dyDescent="0.25">
      <c r="A15" s="45" t="s">
        <v>301</v>
      </c>
      <c r="B15" s="41">
        <v>5263</v>
      </c>
      <c r="C15" s="7"/>
      <c r="D15" s="63" t="s">
        <v>304</v>
      </c>
      <c r="E15" s="64">
        <f t="shared" si="1"/>
        <v>28712</v>
      </c>
    </row>
    <row r="16" spans="1:5" x14ac:dyDescent="0.25">
      <c r="A16" s="45" t="s">
        <v>299</v>
      </c>
      <c r="B16" s="41">
        <v>4875</v>
      </c>
      <c r="C16" s="7"/>
      <c r="D16" s="63" t="s">
        <v>301</v>
      </c>
      <c r="E16" s="64">
        <f t="shared" si="1"/>
        <v>35682.5</v>
      </c>
    </row>
    <row r="17" spans="1:5" x14ac:dyDescent="0.25">
      <c r="A17" s="45" t="s">
        <v>299</v>
      </c>
      <c r="B17" s="41">
        <v>25186</v>
      </c>
      <c r="C17" s="7"/>
      <c r="D17" s="7"/>
      <c r="E17" s="7"/>
    </row>
    <row r="18" spans="1:5" x14ac:dyDescent="0.25">
      <c r="A18" s="45" t="s">
        <v>300</v>
      </c>
      <c r="B18" s="41">
        <v>52185</v>
      </c>
      <c r="C18" s="7"/>
      <c r="D18" s="7"/>
      <c r="E18" s="7"/>
    </row>
    <row r="19" spans="1:5" x14ac:dyDescent="0.25">
      <c r="A19" s="45" t="s">
        <v>299</v>
      </c>
      <c r="B19" s="41">
        <v>9102</v>
      </c>
      <c r="C19" s="7"/>
      <c r="D19" s="7"/>
      <c r="E19" s="7"/>
    </row>
    <row r="20" spans="1:5" x14ac:dyDescent="0.25">
      <c r="A20" s="45" t="s">
        <v>304</v>
      </c>
      <c r="B20" s="41">
        <v>51784</v>
      </c>
      <c r="C20" s="7"/>
      <c r="D20" s="7"/>
      <c r="E20" s="7"/>
    </row>
    <row r="21" spans="1:5" x14ac:dyDescent="0.25">
      <c r="A21" s="45" t="s">
        <v>298</v>
      </c>
      <c r="B21" s="41">
        <v>3021</v>
      </c>
      <c r="C21" s="7"/>
      <c r="D21" s="7"/>
      <c r="E21" s="7"/>
    </row>
    <row r="22" spans="1:5" x14ac:dyDescent="0.25">
      <c r="A22" s="45" t="s">
        <v>297</v>
      </c>
      <c r="B22" s="41">
        <v>19870</v>
      </c>
      <c r="C22" s="7"/>
      <c r="D22" s="7"/>
      <c r="E22" s="7"/>
    </row>
    <row r="23" spans="1:5" x14ac:dyDescent="0.25">
      <c r="A23" s="45" t="s">
        <v>297</v>
      </c>
      <c r="B23" s="41">
        <v>3555</v>
      </c>
      <c r="C23" s="7"/>
      <c r="D23" s="7"/>
      <c r="E23" s="7"/>
    </row>
    <row r="24" spans="1:5" x14ac:dyDescent="0.25">
      <c r="A24" s="45" t="s">
        <v>304</v>
      </c>
      <c r="B24" s="41">
        <v>15798</v>
      </c>
      <c r="C24" s="7"/>
      <c r="D24" s="7"/>
      <c r="E24" s="7"/>
    </row>
  </sheetData>
  <mergeCells count="3">
    <mergeCell ref="A1:E1"/>
    <mergeCell ref="D2:E2"/>
    <mergeCell ref="D10:E1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78F04-2A4B-4BC8-A43C-DEFD773A7834}">
  <dimension ref="A1:D10"/>
  <sheetViews>
    <sheetView workbookViewId="0">
      <selection activeCell="D10" sqref="D10"/>
    </sheetView>
  </sheetViews>
  <sheetFormatPr defaultColWidth="18.28515625" defaultRowHeight="15" x14ac:dyDescent="0.25"/>
  <sheetData>
    <row r="1" spans="1:4" x14ac:dyDescent="0.25">
      <c r="A1" s="108" t="s">
        <v>305</v>
      </c>
      <c r="B1" s="124"/>
      <c r="C1" s="124"/>
      <c r="D1" s="124"/>
    </row>
    <row r="2" spans="1:4" ht="36" customHeight="1" x14ac:dyDescent="0.25">
      <c r="A2" s="38" t="s">
        <v>306</v>
      </c>
      <c r="B2" s="38" t="s">
        <v>307</v>
      </c>
      <c r="C2" s="38" t="s">
        <v>308</v>
      </c>
      <c r="D2" s="38" t="s">
        <v>277</v>
      </c>
    </row>
    <row r="3" spans="1:4" x14ac:dyDescent="0.25">
      <c r="A3" s="19" t="s">
        <v>309</v>
      </c>
      <c r="B3" s="37">
        <v>250000</v>
      </c>
      <c r="C3" s="66">
        <f>IF($B3&gt;=300000,0.038,0.025)</f>
        <v>2.5000000000000001E-2</v>
      </c>
      <c r="D3" s="37">
        <f>PRODUCT(B3,C3)</f>
        <v>6250</v>
      </c>
    </row>
    <row r="4" spans="1:4" x14ac:dyDescent="0.25">
      <c r="A4" s="19" t="s">
        <v>310</v>
      </c>
      <c r="B4" s="65">
        <v>345000</v>
      </c>
      <c r="C4" s="66">
        <f t="shared" ref="C4:C10" si="0">IF($B4&gt;=300000,0.038,0.025)</f>
        <v>3.7999999999999999E-2</v>
      </c>
      <c r="D4" s="37">
        <f t="shared" ref="D4:D10" si="1">PRODUCT(B4,C4)</f>
        <v>13110</v>
      </c>
    </row>
    <row r="5" spans="1:4" x14ac:dyDescent="0.25">
      <c r="A5" s="19" t="s">
        <v>81</v>
      </c>
      <c r="B5" s="65">
        <v>500000</v>
      </c>
      <c r="C5" s="66">
        <f t="shared" si="0"/>
        <v>3.7999999999999999E-2</v>
      </c>
      <c r="D5" s="37">
        <f t="shared" si="1"/>
        <v>19000</v>
      </c>
    </row>
    <row r="6" spans="1:4" x14ac:dyDescent="0.25">
      <c r="A6" s="19" t="s">
        <v>311</v>
      </c>
      <c r="B6" s="65">
        <v>859000</v>
      </c>
      <c r="C6" s="66">
        <f t="shared" si="0"/>
        <v>3.7999999999999999E-2</v>
      </c>
      <c r="D6" s="37">
        <f t="shared" si="1"/>
        <v>32642</v>
      </c>
    </row>
    <row r="7" spans="1:4" x14ac:dyDescent="0.25">
      <c r="A7" s="19" t="s">
        <v>312</v>
      </c>
      <c r="B7" s="65">
        <v>450000</v>
      </c>
      <c r="C7" s="66">
        <f t="shared" si="0"/>
        <v>3.7999999999999999E-2</v>
      </c>
      <c r="D7" s="37">
        <f t="shared" si="1"/>
        <v>17100</v>
      </c>
    </row>
    <row r="8" spans="1:4" x14ac:dyDescent="0.25">
      <c r="A8" s="19" t="s">
        <v>313</v>
      </c>
      <c r="B8" s="65">
        <v>680000</v>
      </c>
      <c r="C8" s="66">
        <f t="shared" si="0"/>
        <v>3.7999999999999999E-2</v>
      </c>
      <c r="D8" s="37">
        <f t="shared" si="1"/>
        <v>25840</v>
      </c>
    </row>
    <row r="9" spans="1:4" x14ac:dyDescent="0.25">
      <c r="A9" s="19" t="s">
        <v>314</v>
      </c>
      <c r="B9" s="65">
        <v>890000</v>
      </c>
      <c r="C9" s="66">
        <f t="shared" si="0"/>
        <v>3.7999999999999999E-2</v>
      </c>
      <c r="D9" s="37">
        <f t="shared" si="1"/>
        <v>33820</v>
      </c>
    </row>
    <row r="10" spans="1:4" x14ac:dyDescent="0.25">
      <c r="A10" s="19" t="s">
        <v>315</v>
      </c>
      <c r="B10" s="65">
        <v>260000</v>
      </c>
      <c r="C10" s="66">
        <f t="shared" si="0"/>
        <v>2.5000000000000001E-2</v>
      </c>
      <c r="D10" s="37">
        <f t="shared" si="1"/>
        <v>6500</v>
      </c>
    </row>
  </sheetData>
  <mergeCells count="1">
    <mergeCell ref="A1:D1"/>
  </mergeCells>
  <conditionalFormatting sqref="C3:C10">
    <cfRule type="cellIs" dxfId="4" priority="1" operator="equal">
      <formula>0.025</formula>
    </cfRule>
    <cfRule type="cellIs" dxfId="3" priority="2" operator="equal">
      <formula>0.038</formula>
    </cfRule>
  </conditionalFormatting>
  <pageMargins left="0.511811024" right="0.511811024" top="0.78740157499999996" bottom="0.78740157499999996" header="0.31496062000000002" footer="0.3149606200000000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ABE45-C5A3-4B55-B5B6-3EB374C31FD4}">
  <dimension ref="A1:C9"/>
  <sheetViews>
    <sheetView workbookViewId="0">
      <selection activeCell="C9" sqref="C9"/>
    </sheetView>
  </sheetViews>
  <sheetFormatPr defaultColWidth="18.28515625" defaultRowHeight="15" x14ac:dyDescent="0.25"/>
  <sheetData>
    <row r="1" spans="1:3" x14ac:dyDescent="0.25">
      <c r="A1" s="100" t="s">
        <v>316</v>
      </c>
      <c r="B1" s="100"/>
      <c r="C1" s="100"/>
    </row>
    <row r="2" spans="1:3" x14ac:dyDescent="0.25">
      <c r="A2" s="61" t="s">
        <v>317</v>
      </c>
      <c r="B2" s="61" t="s">
        <v>318</v>
      </c>
      <c r="C2" s="61" t="s">
        <v>98</v>
      </c>
    </row>
    <row r="3" spans="1:3" x14ac:dyDescent="0.25">
      <c r="A3" s="45" t="s">
        <v>319</v>
      </c>
      <c r="B3" s="68">
        <v>5</v>
      </c>
      <c r="C3" s="40" t="str">
        <f>IF(B3&gt;=7,"Aprovado",IF(B3&gt;=4,"Em Recuperação","Reprovado"))</f>
        <v>Em Recuperação</v>
      </c>
    </row>
    <row r="4" spans="1:3" x14ac:dyDescent="0.25">
      <c r="A4" s="45" t="s">
        <v>320</v>
      </c>
      <c r="B4" s="68">
        <v>8</v>
      </c>
      <c r="C4" s="40" t="str">
        <f t="shared" ref="C4:C9" si="0">IF(B4&gt;=7,"Aprovado",IF(B4&gt;=4,"Em Recuperação","Reprovado"))</f>
        <v>Aprovado</v>
      </c>
    </row>
    <row r="5" spans="1:3" x14ac:dyDescent="0.25">
      <c r="A5" s="45" t="s">
        <v>321</v>
      </c>
      <c r="B5" s="68">
        <v>4</v>
      </c>
      <c r="C5" s="40" t="str">
        <f t="shared" si="0"/>
        <v>Em Recuperação</v>
      </c>
    </row>
    <row r="6" spans="1:3" x14ac:dyDescent="0.25">
      <c r="A6" s="45" t="s">
        <v>322</v>
      </c>
      <c r="B6" s="68">
        <v>7.5</v>
      </c>
      <c r="C6" s="40" t="str">
        <f t="shared" si="0"/>
        <v>Aprovado</v>
      </c>
    </row>
    <row r="7" spans="1:3" x14ac:dyDescent="0.25">
      <c r="A7" s="45" t="s">
        <v>315</v>
      </c>
      <c r="B7" s="68">
        <v>10</v>
      </c>
      <c r="C7" s="40" t="str">
        <f t="shared" si="0"/>
        <v>Aprovado</v>
      </c>
    </row>
    <row r="8" spans="1:3" x14ac:dyDescent="0.25">
      <c r="A8" s="45" t="s">
        <v>323</v>
      </c>
      <c r="B8" s="68">
        <v>2</v>
      </c>
      <c r="C8" s="40" t="str">
        <f t="shared" si="0"/>
        <v>Reprovado</v>
      </c>
    </row>
    <row r="9" spans="1:3" x14ac:dyDescent="0.25">
      <c r="A9" s="45" t="s">
        <v>324</v>
      </c>
      <c r="B9" s="68">
        <v>1</v>
      </c>
      <c r="C9" s="40" t="str">
        <f t="shared" si="0"/>
        <v>Reprovado</v>
      </c>
    </row>
  </sheetData>
  <mergeCells count="1">
    <mergeCell ref="A1:C1"/>
  </mergeCells>
  <conditionalFormatting sqref="C3:C9">
    <cfRule type="cellIs" dxfId="2" priority="1" operator="equal">
      <formula>"Reprovado"</formula>
    </cfRule>
    <cfRule type="cellIs" dxfId="1" priority="2" operator="equal">
      <formula>"Em Recuperação"</formula>
    </cfRule>
    <cfRule type="cellIs" dxfId="0" priority="3" operator="equal">
      <formula>"Aprovado"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4EA0E-E069-4CDE-9DA9-BB9B6D6FC206}">
  <dimension ref="A1:C11"/>
  <sheetViews>
    <sheetView workbookViewId="0">
      <selection activeCell="B9" sqref="B9"/>
    </sheetView>
  </sheetViews>
  <sheetFormatPr defaultColWidth="18.28515625" defaultRowHeight="15" x14ac:dyDescent="0.25"/>
  <cols>
    <col min="2" max="2" width="27.42578125" customWidth="1"/>
    <col min="3" max="3" width="22.85546875" customWidth="1"/>
  </cols>
  <sheetData>
    <row r="1" spans="1:3" x14ac:dyDescent="0.25">
      <c r="A1" s="105" t="s">
        <v>325</v>
      </c>
      <c r="B1" s="106"/>
      <c r="C1" s="107"/>
    </row>
    <row r="2" spans="1:3" x14ac:dyDescent="0.25">
      <c r="A2" s="61" t="s">
        <v>326</v>
      </c>
      <c r="B2" s="61" t="s">
        <v>327</v>
      </c>
      <c r="C2" s="61" t="s">
        <v>328</v>
      </c>
    </row>
    <row r="3" spans="1:3" x14ac:dyDescent="0.25">
      <c r="A3" s="45" t="s">
        <v>334</v>
      </c>
      <c r="B3" s="40" t="s">
        <v>329</v>
      </c>
      <c r="C3" s="40" t="str">
        <f>IF(B3="Tecnologia da informação","Exigir Certificação","Formação Acadêmica")</f>
        <v>Formação Acadêmica</v>
      </c>
    </row>
    <row r="4" spans="1:3" x14ac:dyDescent="0.25">
      <c r="A4" s="45" t="s">
        <v>315</v>
      </c>
      <c r="B4" s="40" t="s">
        <v>330</v>
      </c>
      <c r="C4" s="40" t="str">
        <f t="shared" ref="C4:C11" si="0">IF(B4="Tecnologia da informação","Exigir Certificação","Formação Acadêmica")</f>
        <v>Formação Acadêmica</v>
      </c>
    </row>
    <row r="5" spans="1:3" x14ac:dyDescent="0.25">
      <c r="A5" s="45" t="s">
        <v>335</v>
      </c>
      <c r="B5" s="40" t="s">
        <v>331</v>
      </c>
      <c r="C5" s="40" t="str">
        <f t="shared" si="0"/>
        <v>Formação Acadêmica</v>
      </c>
    </row>
    <row r="6" spans="1:3" x14ac:dyDescent="0.25">
      <c r="A6" s="45" t="s">
        <v>230</v>
      </c>
      <c r="B6" s="40" t="s">
        <v>341</v>
      </c>
      <c r="C6" s="40" t="str">
        <f>IF(B6="Tecnologia da informação","Exigir Certificação","Formação Acadêmica")</f>
        <v>Exigir Certificação</v>
      </c>
    </row>
    <row r="7" spans="1:3" x14ac:dyDescent="0.25">
      <c r="A7" s="45" t="s">
        <v>336</v>
      </c>
      <c r="B7" s="40" t="s">
        <v>332</v>
      </c>
      <c r="C7" s="40" t="str">
        <f t="shared" si="0"/>
        <v>Formação Acadêmica</v>
      </c>
    </row>
    <row r="8" spans="1:3" x14ac:dyDescent="0.25">
      <c r="A8" s="45" t="s">
        <v>337</v>
      </c>
      <c r="B8" s="40" t="s">
        <v>341</v>
      </c>
      <c r="C8" s="40" t="str">
        <f t="shared" si="0"/>
        <v>Exigir Certificação</v>
      </c>
    </row>
    <row r="9" spans="1:3" x14ac:dyDescent="0.25">
      <c r="A9" s="45" t="s">
        <v>338</v>
      </c>
      <c r="B9" s="40" t="s">
        <v>51</v>
      </c>
      <c r="C9" s="40" t="str">
        <f t="shared" si="0"/>
        <v>Formação Acadêmica</v>
      </c>
    </row>
    <row r="10" spans="1:3" x14ac:dyDescent="0.25">
      <c r="A10" s="45" t="s">
        <v>339</v>
      </c>
      <c r="B10" s="40" t="s">
        <v>341</v>
      </c>
      <c r="C10" s="40" t="str">
        <f t="shared" si="0"/>
        <v>Exigir Certificação</v>
      </c>
    </row>
    <row r="11" spans="1:3" x14ac:dyDescent="0.25">
      <c r="A11" s="45" t="s">
        <v>340</v>
      </c>
      <c r="B11" s="40" t="s">
        <v>333</v>
      </c>
      <c r="C11" s="40" t="str">
        <f t="shared" si="0"/>
        <v>Formação Acadêmica</v>
      </c>
    </row>
  </sheetData>
  <mergeCells count="1">
    <mergeCell ref="A1:C1"/>
  </mergeCells>
  <pageMargins left="0.511811024" right="0.511811024" top="0.78740157499999996" bottom="0.78740157499999996" header="0.31496062000000002" footer="0.3149606200000000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52BE5-8C27-47B6-9AF8-CDA71D6A5A62}">
  <dimension ref="A1:H12"/>
  <sheetViews>
    <sheetView workbookViewId="0">
      <selection activeCell="D3" sqref="D3"/>
    </sheetView>
  </sheetViews>
  <sheetFormatPr defaultColWidth="18.28515625" defaultRowHeight="15" x14ac:dyDescent="0.25"/>
  <cols>
    <col min="3" max="3" width="21.85546875" bestFit="1" customWidth="1"/>
    <col min="5" max="5" width="3.42578125" customWidth="1"/>
    <col min="7" max="7" width="22.85546875" customWidth="1"/>
  </cols>
  <sheetData>
    <row r="1" spans="1:8" x14ac:dyDescent="0.25">
      <c r="A1" s="108" t="s">
        <v>342</v>
      </c>
      <c r="B1" s="108"/>
      <c r="C1" s="108"/>
      <c r="D1" s="108"/>
      <c r="F1" s="100" t="s">
        <v>347</v>
      </c>
      <c r="G1" s="100"/>
      <c r="H1" s="100"/>
    </row>
    <row r="2" spans="1:8" ht="30" x14ac:dyDescent="0.25">
      <c r="A2" s="67" t="s">
        <v>343</v>
      </c>
      <c r="B2" s="67" t="s">
        <v>344</v>
      </c>
      <c r="C2" s="67" t="s">
        <v>345</v>
      </c>
      <c r="D2" s="67" t="s">
        <v>346</v>
      </c>
      <c r="F2" s="67" t="s">
        <v>343</v>
      </c>
      <c r="G2" s="67" t="s">
        <v>345</v>
      </c>
      <c r="H2" s="67" t="s">
        <v>346</v>
      </c>
    </row>
    <row r="3" spans="1:8" x14ac:dyDescent="0.25">
      <c r="A3" s="40">
        <v>5</v>
      </c>
      <c r="B3" s="19" t="s">
        <v>348</v>
      </c>
      <c r="C3" s="19" t="str">
        <f>VLOOKUP(A3,$F$3:$H$7,2,FALSE)</f>
        <v>Programador</v>
      </c>
      <c r="D3" s="37">
        <f>VLOOKUP(A3,$F$3:$H$7,3,FALSE)</f>
        <v>4750</v>
      </c>
      <c r="F3" s="40">
        <v>1</v>
      </c>
      <c r="G3" s="19" t="s">
        <v>358</v>
      </c>
      <c r="H3" s="41">
        <v>1700</v>
      </c>
    </row>
    <row r="4" spans="1:8" x14ac:dyDescent="0.25">
      <c r="A4" s="40">
        <v>2</v>
      </c>
      <c r="B4" s="19" t="s">
        <v>349</v>
      </c>
      <c r="C4" s="19" t="str">
        <f t="shared" ref="C4:C12" si="0">VLOOKUP(A4,$F$3:$H$7,2,FALSE)</f>
        <v>Auxiliar Administrativo</v>
      </c>
      <c r="D4" s="37">
        <f t="shared" ref="D4:D12" si="1">VLOOKUP(A4,$F$3:$H$7,3,FALSE)</f>
        <v>1850</v>
      </c>
      <c r="F4" s="40">
        <v>2</v>
      </c>
      <c r="G4" s="19" t="s">
        <v>57</v>
      </c>
      <c r="H4" s="41">
        <v>1850</v>
      </c>
    </row>
    <row r="5" spans="1:8" x14ac:dyDescent="0.25">
      <c r="A5" s="40">
        <v>3</v>
      </c>
      <c r="B5" s="19" t="s">
        <v>350</v>
      </c>
      <c r="C5" s="19" t="str">
        <f t="shared" si="0"/>
        <v>Gerente</v>
      </c>
      <c r="D5" s="37">
        <f t="shared" si="1"/>
        <v>5600</v>
      </c>
      <c r="F5" s="40">
        <v>3</v>
      </c>
      <c r="G5" s="19" t="s">
        <v>359</v>
      </c>
      <c r="H5" s="41">
        <v>5600</v>
      </c>
    </row>
    <row r="6" spans="1:8" x14ac:dyDescent="0.25">
      <c r="A6" s="40">
        <v>1</v>
      </c>
      <c r="B6" s="19" t="s">
        <v>351</v>
      </c>
      <c r="C6" s="19" t="str">
        <f t="shared" si="0"/>
        <v>Recepção</v>
      </c>
      <c r="D6" s="37">
        <f t="shared" si="1"/>
        <v>1700</v>
      </c>
      <c r="F6" s="40">
        <v>4</v>
      </c>
      <c r="G6" s="19" t="s">
        <v>61</v>
      </c>
      <c r="H6" s="41">
        <v>3800</v>
      </c>
    </row>
    <row r="7" spans="1:8" x14ac:dyDescent="0.25">
      <c r="A7" s="40">
        <v>2</v>
      </c>
      <c r="B7" s="19" t="s">
        <v>352</v>
      </c>
      <c r="C7" s="19" t="str">
        <f t="shared" si="0"/>
        <v>Auxiliar Administrativo</v>
      </c>
      <c r="D7" s="37">
        <f t="shared" si="1"/>
        <v>1850</v>
      </c>
      <c r="F7" s="40">
        <v>5</v>
      </c>
      <c r="G7" s="19" t="s">
        <v>360</v>
      </c>
      <c r="H7" s="41">
        <v>4750</v>
      </c>
    </row>
    <row r="8" spans="1:8" x14ac:dyDescent="0.25">
      <c r="A8" s="40">
        <v>4</v>
      </c>
      <c r="B8" s="19" t="s">
        <v>353</v>
      </c>
      <c r="C8" s="19" t="str">
        <f t="shared" si="0"/>
        <v>Contador</v>
      </c>
      <c r="D8" s="37">
        <f t="shared" si="1"/>
        <v>3800</v>
      </c>
    </row>
    <row r="9" spans="1:8" x14ac:dyDescent="0.25">
      <c r="A9" s="40">
        <v>1</v>
      </c>
      <c r="B9" s="19" t="s">
        <v>354</v>
      </c>
      <c r="C9" s="19" t="str">
        <f t="shared" si="0"/>
        <v>Recepção</v>
      </c>
      <c r="D9" s="37">
        <f t="shared" si="1"/>
        <v>1700</v>
      </c>
    </row>
    <row r="10" spans="1:8" x14ac:dyDescent="0.25">
      <c r="A10" s="40">
        <v>3</v>
      </c>
      <c r="B10" s="19" t="s">
        <v>355</v>
      </c>
      <c r="C10" s="19" t="str">
        <f t="shared" si="0"/>
        <v>Gerente</v>
      </c>
      <c r="D10" s="37">
        <f t="shared" si="1"/>
        <v>5600</v>
      </c>
    </row>
    <row r="11" spans="1:8" x14ac:dyDescent="0.25">
      <c r="A11" s="40">
        <v>2</v>
      </c>
      <c r="B11" s="19" t="s">
        <v>356</v>
      </c>
      <c r="C11" s="19" t="str">
        <f t="shared" si="0"/>
        <v>Auxiliar Administrativo</v>
      </c>
      <c r="D11" s="37">
        <f t="shared" si="1"/>
        <v>1850</v>
      </c>
    </row>
    <row r="12" spans="1:8" x14ac:dyDescent="0.25">
      <c r="A12" s="40">
        <v>5</v>
      </c>
      <c r="B12" s="19" t="s">
        <v>357</v>
      </c>
      <c r="C12" s="19" t="str">
        <f t="shared" si="0"/>
        <v>Programador</v>
      </c>
      <c r="D12" s="37">
        <f t="shared" si="1"/>
        <v>4750</v>
      </c>
    </row>
  </sheetData>
  <mergeCells count="2">
    <mergeCell ref="A1:D1"/>
    <mergeCell ref="F1:H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42A34-C9DC-4F4D-971F-1F2C8DF9CF30}">
  <dimension ref="A1:Q25"/>
  <sheetViews>
    <sheetView workbookViewId="0">
      <selection activeCell="B17" sqref="B17:C17"/>
    </sheetView>
  </sheetViews>
  <sheetFormatPr defaultColWidth="18.28515625" defaultRowHeight="15" x14ac:dyDescent="0.25"/>
  <cols>
    <col min="1" max="1" width="20.85546875" bestFit="1" customWidth="1"/>
    <col min="4" max="4" width="32" customWidth="1"/>
    <col min="10" max="10" width="20.85546875" bestFit="1" customWidth="1"/>
    <col min="13" max="13" width="28.85546875" bestFit="1" customWidth="1"/>
  </cols>
  <sheetData>
    <row r="1" spans="1:17" x14ac:dyDescent="0.25">
      <c r="A1" s="108" t="s">
        <v>414</v>
      </c>
      <c r="B1" s="108"/>
      <c r="C1" s="108"/>
      <c r="D1" s="108"/>
      <c r="E1" s="108"/>
      <c r="F1" s="108"/>
      <c r="G1" s="108"/>
      <c r="H1" s="108"/>
      <c r="J1" s="77"/>
      <c r="K1" s="77"/>
      <c r="L1" s="77"/>
      <c r="M1" s="77"/>
      <c r="N1" s="77"/>
      <c r="O1" s="77"/>
      <c r="P1" s="77"/>
      <c r="Q1" s="77"/>
    </row>
    <row r="2" spans="1:17" ht="30" x14ac:dyDescent="0.25">
      <c r="A2" s="67" t="s">
        <v>47</v>
      </c>
      <c r="B2" s="67" t="s">
        <v>361</v>
      </c>
      <c r="C2" s="67" t="s">
        <v>362</v>
      </c>
      <c r="D2" s="67" t="s">
        <v>363</v>
      </c>
      <c r="E2" s="67" t="s">
        <v>364</v>
      </c>
      <c r="F2" s="67" t="s">
        <v>365</v>
      </c>
      <c r="G2" s="67" t="s">
        <v>366</v>
      </c>
      <c r="H2" s="67" t="s">
        <v>43</v>
      </c>
      <c r="J2" s="78"/>
      <c r="K2" s="78"/>
      <c r="L2" s="78"/>
      <c r="M2" s="78"/>
      <c r="N2" s="78"/>
      <c r="O2" s="78"/>
      <c r="P2" s="78"/>
      <c r="Q2" s="78"/>
    </row>
    <row r="3" spans="1:17" x14ac:dyDescent="0.25">
      <c r="A3" s="74" t="s">
        <v>397</v>
      </c>
      <c r="B3" s="71">
        <v>33248</v>
      </c>
      <c r="C3" s="73" t="s">
        <v>367</v>
      </c>
      <c r="D3" s="74" t="s">
        <v>376</v>
      </c>
      <c r="E3" s="74" t="s">
        <v>387</v>
      </c>
      <c r="F3" s="74" t="s">
        <v>370</v>
      </c>
      <c r="G3" s="73" t="s">
        <v>369</v>
      </c>
      <c r="H3" s="75">
        <v>5421330</v>
      </c>
      <c r="J3" s="79"/>
      <c r="K3" s="80"/>
      <c r="L3" s="81"/>
      <c r="M3" s="79"/>
      <c r="N3" s="79"/>
      <c r="O3" s="79"/>
      <c r="P3" s="81"/>
      <c r="Q3" s="82"/>
    </row>
    <row r="4" spans="1:17" x14ac:dyDescent="0.25">
      <c r="A4" s="74" t="s">
        <v>398</v>
      </c>
      <c r="B4" s="71">
        <v>32912</v>
      </c>
      <c r="C4" s="73" t="s">
        <v>367</v>
      </c>
      <c r="D4" s="74" t="s">
        <v>377</v>
      </c>
      <c r="E4" s="74" t="s">
        <v>388</v>
      </c>
      <c r="F4" s="74" t="s">
        <v>371</v>
      </c>
      <c r="G4" s="73" t="s">
        <v>369</v>
      </c>
      <c r="H4" s="75">
        <v>8721654</v>
      </c>
      <c r="J4" s="79"/>
      <c r="K4" s="80"/>
      <c r="L4" s="81"/>
      <c r="M4" s="79"/>
      <c r="N4" s="79"/>
      <c r="O4" s="79"/>
      <c r="P4" s="81"/>
      <c r="Q4" s="82"/>
    </row>
    <row r="5" spans="1:17" x14ac:dyDescent="0.25">
      <c r="A5" s="74" t="s">
        <v>399</v>
      </c>
      <c r="B5" s="71">
        <v>32576</v>
      </c>
      <c r="C5" s="73" t="s">
        <v>367</v>
      </c>
      <c r="D5" s="74" t="s">
        <v>378</v>
      </c>
      <c r="E5" s="74" t="s">
        <v>389</v>
      </c>
      <c r="F5" s="74" t="s">
        <v>372</v>
      </c>
      <c r="G5" s="73" t="s">
        <v>369</v>
      </c>
      <c r="H5" s="75">
        <v>5524118</v>
      </c>
      <c r="J5" s="79"/>
      <c r="K5" s="80"/>
      <c r="L5" s="81"/>
      <c r="M5" s="79"/>
      <c r="N5" s="79"/>
      <c r="O5" s="79"/>
      <c r="P5" s="81"/>
      <c r="Q5" s="82"/>
    </row>
    <row r="6" spans="1:17" x14ac:dyDescent="0.25">
      <c r="A6" s="74" t="s">
        <v>400</v>
      </c>
      <c r="B6" s="71">
        <v>32240</v>
      </c>
      <c r="C6" s="73" t="s">
        <v>368</v>
      </c>
      <c r="D6" s="74" t="s">
        <v>379</v>
      </c>
      <c r="E6" s="74" t="s">
        <v>390</v>
      </c>
      <c r="F6" s="74" t="s">
        <v>373</v>
      </c>
      <c r="G6" s="73" t="s">
        <v>369</v>
      </c>
      <c r="H6" s="75">
        <v>8484012</v>
      </c>
      <c r="J6" s="79"/>
      <c r="K6" s="80"/>
      <c r="L6" s="81"/>
      <c r="M6" s="79"/>
      <c r="N6" s="79"/>
      <c r="O6" s="79"/>
      <c r="P6" s="81"/>
      <c r="Q6" s="82"/>
    </row>
    <row r="7" spans="1:17" x14ac:dyDescent="0.25">
      <c r="A7" s="74" t="s">
        <v>401</v>
      </c>
      <c r="B7" s="71">
        <v>31904</v>
      </c>
      <c r="C7" s="73" t="s">
        <v>368</v>
      </c>
      <c r="D7" s="74" t="s">
        <v>380</v>
      </c>
      <c r="E7" s="74" t="s">
        <v>391</v>
      </c>
      <c r="F7" s="74" t="s">
        <v>371</v>
      </c>
      <c r="G7" s="73" t="s">
        <v>369</v>
      </c>
      <c r="H7" s="75">
        <v>3547900</v>
      </c>
      <c r="J7" s="79"/>
      <c r="K7" s="80"/>
      <c r="L7" s="81"/>
      <c r="M7" s="79"/>
      <c r="N7" s="79"/>
      <c r="O7" s="79"/>
      <c r="P7" s="81"/>
      <c r="Q7" s="82"/>
    </row>
    <row r="8" spans="1:17" x14ac:dyDescent="0.25">
      <c r="A8" s="74" t="s">
        <v>402</v>
      </c>
      <c r="B8" s="71">
        <v>31568</v>
      </c>
      <c r="C8" s="73" t="s">
        <v>368</v>
      </c>
      <c r="D8" s="74" t="s">
        <v>381</v>
      </c>
      <c r="E8" s="74" t="s">
        <v>392</v>
      </c>
      <c r="F8" s="74" t="s">
        <v>374</v>
      </c>
      <c r="G8" s="73" t="s">
        <v>369</v>
      </c>
      <c r="H8" s="75">
        <v>6545789</v>
      </c>
      <c r="J8" s="79"/>
      <c r="K8" s="80"/>
      <c r="L8" s="81"/>
      <c r="M8" s="79"/>
      <c r="N8" s="79"/>
      <c r="O8" s="79"/>
      <c r="P8" s="81"/>
      <c r="Q8" s="82"/>
    </row>
    <row r="9" spans="1:17" x14ac:dyDescent="0.25">
      <c r="A9" s="74" t="s">
        <v>403</v>
      </c>
      <c r="B9" s="71">
        <v>31232</v>
      </c>
      <c r="C9" s="73" t="s">
        <v>368</v>
      </c>
      <c r="D9" s="74" t="s">
        <v>382</v>
      </c>
      <c r="E9" s="74" t="s">
        <v>393</v>
      </c>
      <c r="F9" s="74" t="s">
        <v>375</v>
      </c>
      <c r="G9" s="73" t="s">
        <v>369</v>
      </c>
      <c r="H9" s="75">
        <v>2149747</v>
      </c>
      <c r="J9" s="79"/>
      <c r="K9" s="80"/>
      <c r="L9" s="81"/>
      <c r="M9" s="79"/>
      <c r="N9" s="79"/>
      <c r="O9" s="79"/>
      <c r="P9" s="81"/>
      <c r="Q9" s="82"/>
    </row>
    <row r="10" spans="1:17" x14ac:dyDescent="0.25">
      <c r="A10" s="74" t="s">
        <v>404</v>
      </c>
      <c r="B10" s="71">
        <v>30896</v>
      </c>
      <c r="C10" s="73" t="s">
        <v>368</v>
      </c>
      <c r="D10" s="74" t="s">
        <v>383</v>
      </c>
      <c r="E10" s="74" t="s">
        <v>394</v>
      </c>
      <c r="F10" s="74" t="s">
        <v>372</v>
      </c>
      <c r="G10" s="73" t="s">
        <v>369</v>
      </c>
      <c r="H10" s="75">
        <v>2265458</v>
      </c>
      <c r="J10" s="79"/>
      <c r="K10" s="80"/>
      <c r="L10" s="81"/>
      <c r="M10" s="79"/>
      <c r="N10" s="79"/>
      <c r="O10" s="79"/>
      <c r="P10" s="81"/>
      <c r="Q10" s="82"/>
    </row>
    <row r="11" spans="1:17" x14ac:dyDescent="0.25">
      <c r="A11" s="74" t="s">
        <v>405</v>
      </c>
      <c r="B11" s="71">
        <v>30560</v>
      </c>
      <c r="C11" s="73" t="s">
        <v>367</v>
      </c>
      <c r="D11" s="74" t="s">
        <v>384</v>
      </c>
      <c r="E11" s="74" t="s">
        <v>395</v>
      </c>
      <c r="F11" s="74" t="s">
        <v>370</v>
      </c>
      <c r="G11" s="73" t="s">
        <v>369</v>
      </c>
      <c r="H11" s="75">
        <v>4987200</v>
      </c>
      <c r="J11" s="79"/>
      <c r="K11" s="80"/>
      <c r="L11" s="81"/>
      <c r="M11" s="79"/>
      <c r="N11" s="79"/>
      <c r="O11" s="79"/>
      <c r="P11" s="81"/>
      <c r="Q11" s="82"/>
    </row>
    <row r="12" spans="1:17" x14ac:dyDescent="0.25">
      <c r="A12" s="74" t="s">
        <v>406</v>
      </c>
      <c r="B12" s="71">
        <v>30224</v>
      </c>
      <c r="C12" s="73" t="s">
        <v>367</v>
      </c>
      <c r="D12" s="74" t="s">
        <v>385</v>
      </c>
      <c r="E12" s="74" t="s">
        <v>396</v>
      </c>
      <c r="F12" s="74" t="s">
        <v>370</v>
      </c>
      <c r="G12" s="73" t="s">
        <v>369</v>
      </c>
      <c r="H12" s="75">
        <v>1212300</v>
      </c>
      <c r="J12" s="79"/>
      <c r="K12" s="80"/>
      <c r="L12" s="81"/>
      <c r="M12" s="79"/>
      <c r="N12" s="79"/>
      <c r="O12" s="79"/>
      <c r="P12" s="81"/>
      <c r="Q12" s="82"/>
    </row>
    <row r="13" spans="1:17" x14ac:dyDescent="0.25">
      <c r="A13" s="74" t="s">
        <v>407</v>
      </c>
      <c r="B13" s="71">
        <v>29888</v>
      </c>
      <c r="C13" s="73" t="s">
        <v>367</v>
      </c>
      <c r="D13" s="74" t="s">
        <v>386</v>
      </c>
      <c r="E13" s="74" t="s">
        <v>388</v>
      </c>
      <c r="F13" s="74" t="s">
        <v>374</v>
      </c>
      <c r="G13" s="73" t="s">
        <v>369</v>
      </c>
      <c r="H13" s="75">
        <v>7584219</v>
      </c>
      <c r="J13" s="79"/>
      <c r="K13" s="80"/>
      <c r="L13" s="81"/>
      <c r="M13" s="79"/>
      <c r="N13" s="79"/>
      <c r="O13" s="79"/>
      <c r="P13" s="81"/>
      <c r="Q13" s="82"/>
    </row>
    <row r="14" spans="1:17" x14ac:dyDescent="0.25">
      <c r="J14" s="83"/>
      <c r="K14" s="83"/>
      <c r="L14" s="83"/>
      <c r="M14" s="83"/>
      <c r="N14" s="83"/>
      <c r="O14" s="83"/>
      <c r="P14" s="83"/>
      <c r="Q14" s="83"/>
    </row>
    <row r="15" spans="1:17" x14ac:dyDescent="0.25">
      <c r="A15" s="125" t="s">
        <v>408</v>
      </c>
      <c r="B15" s="125"/>
      <c r="C15" s="125"/>
      <c r="J15" s="84"/>
      <c r="K15" s="84"/>
      <c r="L15" s="84"/>
      <c r="M15" s="83"/>
      <c r="N15" s="83"/>
      <c r="O15" s="83"/>
      <c r="P15" s="83"/>
      <c r="Q15" s="83"/>
    </row>
    <row r="16" spans="1:17" x14ac:dyDescent="0.25">
      <c r="A16" s="76" t="s">
        <v>409</v>
      </c>
      <c r="B16" s="126" t="s">
        <v>400</v>
      </c>
      <c r="C16" s="126"/>
      <c r="J16" s="85"/>
      <c r="K16" s="89"/>
      <c r="L16" s="89"/>
      <c r="M16" s="83"/>
      <c r="N16" s="83"/>
      <c r="O16" s="83"/>
      <c r="P16" s="83"/>
      <c r="Q16" s="83"/>
    </row>
    <row r="17" spans="1:17" x14ac:dyDescent="0.25">
      <c r="A17" s="76" t="s">
        <v>410</v>
      </c>
      <c r="B17" s="127">
        <f>VLOOKUP($B$16,$A$3:$H$13,2,FALSE)</f>
        <v>32240</v>
      </c>
      <c r="C17" s="127"/>
      <c r="J17" s="85"/>
      <c r="K17" s="87"/>
      <c r="L17" s="87"/>
      <c r="M17" s="83"/>
      <c r="N17" s="83"/>
      <c r="O17" s="83"/>
      <c r="P17" s="83"/>
      <c r="Q17" s="83"/>
    </row>
    <row r="18" spans="1:17" x14ac:dyDescent="0.25">
      <c r="A18" s="76" t="s">
        <v>411</v>
      </c>
      <c r="B18" s="127" t="str">
        <f>VLOOKUP($B$16,$A$3:$H$13,3,FALSE)</f>
        <v>M</v>
      </c>
      <c r="C18" s="127"/>
      <c r="J18" s="85"/>
      <c r="K18" s="87"/>
      <c r="L18" s="87"/>
      <c r="M18" s="83"/>
      <c r="N18" s="83"/>
      <c r="O18" s="83"/>
      <c r="P18" s="83"/>
      <c r="Q18" s="83"/>
    </row>
    <row r="19" spans="1:17" x14ac:dyDescent="0.25">
      <c r="A19" s="76" t="s">
        <v>208</v>
      </c>
      <c r="B19" s="127" t="str">
        <f>VLOOKUP($B$16,$A$3:$H$13,4,FALSE)</f>
        <v>Av. João Bosco, 415</v>
      </c>
      <c r="C19" s="127"/>
      <c r="J19" s="85"/>
      <c r="K19" s="87"/>
      <c r="L19" s="87"/>
      <c r="M19" s="83"/>
      <c r="N19" s="83"/>
      <c r="O19" s="83"/>
      <c r="P19" s="83"/>
      <c r="Q19" s="83"/>
    </row>
    <row r="20" spans="1:17" x14ac:dyDescent="0.25">
      <c r="A20" s="76" t="s">
        <v>412</v>
      </c>
      <c r="B20" s="127" t="str">
        <f>VLOOKUP($B$16,$A$3:$H$13,5,FALSE)</f>
        <v>Leme</v>
      </c>
      <c r="C20" s="127"/>
      <c r="J20" s="85"/>
      <c r="K20" s="87"/>
      <c r="L20" s="87"/>
      <c r="M20" s="83"/>
      <c r="N20" s="83"/>
      <c r="O20" s="83"/>
      <c r="P20" s="83"/>
      <c r="Q20" s="83"/>
    </row>
    <row r="21" spans="1:17" x14ac:dyDescent="0.25">
      <c r="A21" s="76" t="s">
        <v>207</v>
      </c>
      <c r="B21" s="127" t="str">
        <f>VLOOKUP($B$16,$A$3:$H$13,6,FALSE)</f>
        <v>Carapícuiba</v>
      </c>
      <c r="C21" s="127"/>
      <c r="J21" s="85"/>
      <c r="K21" s="87"/>
      <c r="L21" s="87"/>
      <c r="M21" s="83"/>
      <c r="N21" s="83"/>
      <c r="O21" s="83"/>
      <c r="P21" s="83"/>
      <c r="Q21" s="83"/>
    </row>
    <row r="22" spans="1:17" x14ac:dyDescent="0.25">
      <c r="A22" s="76" t="s">
        <v>413</v>
      </c>
      <c r="B22" s="127" t="str">
        <f>VLOOKUP($B$16,$A$3:$H$13,7,FALSE)</f>
        <v>SP</v>
      </c>
      <c r="C22" s="127"/>
      <c r="J22" s="85"/>
      <c r="K22" s="87"/>
      <c r="L22" s="87"/>
      <c r="M22" s="83"/>
      <c r="N22" s="83"/>
      <c r="O22" s="83"/>
      <c r="P22" s="83"/>
      <c r="Q22" s="83"/>
    </row>
    <row r="23" spans="1:17" x14ac:dyDescent="0.25">
      <c r="A23" s="76" t="s">
        <v>43</v>
      </c>
      <c r="B23" s="128">
        <f>VLOOKUP($B$16,$A$3:$H$13,8,FALSE)</f>
        <v>8484012</v>
      </c>
      <c r="C23" s="128"/>
      <c r="J23" s="85"/>
      <c r="K23" s="88"/>
      <c r="L23" s="88"/>
      <c r="M23" s="83"/>
      <c r="N23" s="83"/>
      <c r="O23" s="83"/>
      <c r="P23" s="83"/>
      <c r="Q23" s="83"/>
    </row>
    <row r="24" spans="1:17" x14ac:dyDescent="0.25">
      <c r="J24" s="86"/>
      <c r="K24" s="86"/>
      <c r="L24" s="86"/>
      <c r="M24" s="86"/>
      <c r="N24" s="86"/>
      <c r="O24" s="86"/>
      <c r="P24" s="86"/>
      <c r="Q24" s="86"/>
    </row>
    <row r="25" spans="1:17" x14ac:dyDescent="0.25">
      <c r="J25" s="86"/>
      <c r="K25" s="86"/>
      <c r="L25" s="86"/>
      <c r="M25" s="86"/>
      <c r="N25" s="86"/>
      <c r="O25" s="86"/>
      <c r="P25" s="86"/>
      <c r="Q25" s="86"/>
    </row>
  </sheetData>
  <mergeCells count="10">
    <mergeCell ref="B19:C19"/>
    <mergeCell ref="B20:C20"/>
    <mergeCell ref="B21:C21"/>
    <mergeCell ref="B22:C22"/>
    <mergeCell ref="B23:C23"/>
    <mergeCell ref="A1:H1"/>
    <mergeCell ref="A15:C15"/>
    <mergeCell ref="B16:C16"/>
    <mergeCell ref="B17:C17"/>
    <mergeCell ref="B18:C18"/>
  </mergeCells>
  <dataValidations count="2">
    <dataValidation type="list" allowBlank="1" showInputMessage="1" showErrorMessage="1" sqref="K16:L16" xr:uid="{D24E4997-11E7-43F4-98AD-8963A5EEE39C}">
      <formula1>$J$3:$J$13</formula1>
    </dataValidation>
    <dataValidation type="list" allowBlank="1" showInputMessage="1" showErrorMessage="1" sqref="B16:C16" xr:uid="{1C85EC2B-7902-45E0-BEE6-16F80CE8B84C}">
      <formula1>$A$3:$A$13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846B2-D0AC-4B7C-BBFB-5146D3ADB459}">
  <dimension ref="A1:J13"/>
  <sheetViews>
    <sheetView tabSelected="1" workbookViewId="0">
      <selection activeCell="H13" sqref="H13"/>
    </sheetView>
  </sheetViews>
  <sheetFormatPr defaultRowHeight="15" x14ac:dyDescent="0.25"/>
  <cols>
    <col min="1" max="1" width="9.28515625" bestFit="1" customWidth="1"/>
    <col min="5" max="5" width="9.5703125" bestFit="1" customWidth="1"/>
    <col min="6" max="6" width="14.7109375" bestFit="1" customWidth="1"/>
    <col min="7" max="7" width="3.42578125" customWidth="1"/>
    <col min="10" max="10" width="14.7109375" bestFit="1" customWidth="1"/>
  </cols>
  <sheetData>
    <row r="1" spans="1:10" x14ac:dyDescent="0.25">
      <c r="A1" s="100" t="s">
        <v>418</v>
      </c>
      <c r="B1" s="100"/>
      <c r="C1" s="100"/>
      <c r="D1" s="100"/>
      <c r="E1" s="100"/>
      <c r="F1" s="100"/>
      <c r="H1" s="125" t="s">
        <v>415</v>
      </c>
      <c r="I1" s="125"/>
      <c r="J1" s="125"/>
    </row>
    <row r="2" spans="1:10" x14ac:dyDescent="0.25">
      <c r="A2" s="129" t="s">
        <v>47</v>
      </c>
      <c r="B2" s="129" t="s">
        <v>419</v>
      </c>
      <c r="C2" s="129" t="s">
        <v>420</v>
      </c>
      <c r="D2" s="129" t="s">
        <v>421</v>
      </c>
      <c r="E2" s="129" t="s">
        <v>422</v>
      </c>
      <c r="F2" s="72" t="s">
        <v>98</v>
      </c>
      <c r="H2" s="72" t="s">
        <v>416</v>
      </c>
      <c r="I2" s="72" t="s">
        <v>417</v>
      </c>
      <c r="J2" s="72" t="s">
        <v>98</v>
      </c>
    </row>
    <row r="3" spans="1:10" x14ac:dyDescent="0.25">
      <c r="A3" s="45" t="s">
        <v>423</v>
      </c>
      <c r="B3" s="42">
        <v>21</v>
      </c>
      <c r="C3" s="42">
        <v>54</v>
      </c>
      <c r="D3" s="130">
        <v>1.6</v>
      </c>
      <c r="E3" s="130">
        <f>C3/(D3*D3)</f>
        <v>21.093749999999996</v>
      </c>
      <c r="F3" s="45" t="str">
        <f>VLOOKUP(E3,$H$3:$J$7,3,TRUE)</f>
        <v>Normal</v>
      </c>
      <c r="H3" s="40">
        <v>0</v>
      </c>
      <c r="I3" s="40">
        <v>18</v>
      </c>
      <c r="J3" s="19" t="s">
        <v>430</v>
      </c>
    </row>
    <row r="4" spans="1:10" x14ac:dyDescent="0.25">
      <c r="A4" s="45" t="s">
        <v>424</v>
      </c>
      <c r="B4" s="131">
        <v>28</v>
      </c>
      <c r="C4" s="42">
        <v>58</v>
      </c>
      <c r="D4" s="130">
        <v>1.75</v>
      </c>
      <c r="E4" s="130">
        <f t="shared" ref="E4:E13" si="0">C4/(D4*D4)</f>
        <v>18.938775510204081</v>
      </c>
      <c r="F4" s="45" t="str">
        <f t="shared" ref="F4:F13" si="1">VLOOKUP(E4,$H$3:$J$7,3,TRUE)</f>
        <v>Abaixo do Peso</v>
      </c>
      <c r="H4" s="40">
        <v>19</v>
      </c>
      <c r="I4" s="40">
        <v>24</v>
      </c>
      <c r="J4" s="19" t="s">
        <v>431</v>
      </c>
    </row>
    <row r="5" spans="1:10" x14ac:dyDescent="0.25">
      <c r="A5" s="45" t="s">
        <v>425</v>
      </c>
      <c r="B5" s="42">
        <v>16</v>
      </c>
      <c r="C5" s="42">
        <v>70</v>
      </c>
      <c r="D5" s="130">
        <v>1.68</v>
      </c>
      <c r="E5" s="130">
        <f t="shared" si="0"/>
        <v>24.801587301587304</v>
      </c>
      <c r="F5" s="45" t="str">
        <f t="shared" si="1"/>
        <v>Normal</v>
      </c>
      <c r="H5" s="40">
        <v>25</v>
      </c>
      <c r="I5" s="40">
        <v>29</v>
      </c>
      <c r="J5" s="19" t="s">
        <v>432</v>
      </c>
    </row>
    <row r="6" spans="1:10" x14ac:dyDescent="0.25">
      <c r="A6" s="45" t="s">
        <v>280</v>
      </c>
      <c r="B6" s="42">
        <v>15</v>
      </c>
      <c r="C6" s="42">
        <v>115</v>
      </c>
      <c r="D6" s="130">
        <v>1.9</v>
      </c>
      <c r="E6" s="130">
        <f t="shared" si="0"/>
        <v>31.855955678670362</v>
      </c>
      <c r="F6" s="45" t="str">
        <f t="shared" si="1"/>
        <v>Obeso</v>
      </c>
      <c r="H6" s="40">
        <v>30</v>
      </c>
      <c r="I6" s="40">
        <v>39</v>
      </c>
      <c r="J6" s="19" t="s">
        <v>433</v>
      </c>
    </row>
    <row r="7" spans="1:10" x14ac:dyDescent="0.25">
      <c r="A7" s="45" t="s">
        <v>426</v>
      </c>
      <c r="B7" s="42">
        <v>29</v>
      </c>
      <c r="C7" s="42">
        <v>62</v>
      </c>
      <c r="D7" s="130">
        <v>1.54</v>
      </c>
      <c r="E7" s="130">
        <f t="shared" si="0"/>
        <v>26.14268848035082</v>
      </c>
      <c r="F7" s="45" t="str">
        <f t="shared" si="1"/>
        <v>Sobrepeso</v>
      </c>
      <c r="H7" s="40">
        <v>40</v>
      </c>
      <c r="I7" s="40">
        <v>80</v>
      </c>
      <c r="J7" s="19" t="s">
        <v>434</v>
      </c>
    </row>
    <row r="8" spans="1:10" x14ac:dyDescent="0.25">
      <c r="A8" s="45" t="s">
        <v>427</v>
      </c>
      <c r="B8" s="42">
        <v>32</v>
      </c>
      <c r="C8" s="42">
        <v>59</v>
      </c>
      <c r="D8" s="130">
        <v>1.61</v>
      </c>
      <c r="E8" s="130">
        <f t="shared" si="0"/>
        <v>22.761467535974688</v>
      </c>
      <c r="F8" s="45" t="str">
        <f t="shared" si="1"/>
        <v>Normal</v>
      </c>
    </row>
    <row r="9" spans="1:10" x14ac:dyDescent="0.25">
      <c r="A9" s="45" t="s">
        <v>225</v>
      </c>
      <c r="B9" s="42">
        <v>41</v>
      </c>
      <c r="C9" s="42">
        <v>74</v>
      </c>
      <c r="D9" s="130">
        <v>1.63</v>
      </c>
      <c r="E9" s="130">
        <f t="shared" si="0"/>
        <v>27.852007979223909</v>
      </c>
      <c r="F9" s="45" t="str">
        <f t="shared" si="1"/>
        <v>Sobrepeso</v>
      </c>
    </row>
    <row r="10" spans="1:10" x14ac:dyDescent="0.25">
      <c r="A10" s="45" t="s">
        <v>428</v>
      </c>
      <c r="B10" s="42">
        <v>57</v>
      </c>
      <c r="C10" s="42">
        <v>68</v>
      </c>
      <c r="D10" s="130">
        <v>1.75</v>
      </c>
      <c r="E10" s="130">
        <f t="shared" si="0"/>
        <v>22.204081632653061</v>
      </c>
      <c r="F10" s="45" t="str">
        <f t="shared" si="1"/>
        <v>Normal</v>
      </c>
    </row>
    <row r="11" spans="1:10" x14ac:dyDescent="0.25">
      <c r="A11" s="45" t="s">
        <v>340</v>
      </c>
      <c r="B11" s="42">
        <v>18</v>
      </c>
      <c r="C11" s="42">
        <v>94</v>
      </c>
      <c r="D11" s="130">
        <v>1.82</v>
      </c>
      <c r="E11" s="130">
        <f t="shared" si="0"/>
        <v>28.378215191402003</v>
      </c>
      <c r="F11" s="45" t="str">
        <f t="shared" si="1"/>
        <v>Sobrepeso</v>
      </c>
    </row>
    <row r="12" spans="1:10" x14ac:dyDescent="0.25">
      <c r="A12" s="45" t="s">
        <v>429</v>
      </c>
      <c r="B12" s="42">
        <v>68</v>
      </c>
      <c r="C12" s="42">
        <v>60</v>
      </c>
      <c r="D12" s="130">
        <v>1.59</v>
      </c>
      <c r="E12" s="130">
        <f t="shared" si="0"/>
        <v>23.733238400379729</v>
      </c>
      <c r="F12" s="45" t="str">
        <f t="shared" si="1"/>
        <v>Normal</v>
      </c>
    </row>
    <row r="13" spans="1:10" x14ac:dyDescent="0.25">
      <c r="A13" s="45" t="s">
        <v>322</v>
      </c>
      <c r="B13" s="42">
        <v>19</v>
      </c>
      <c r="C13" s="42">
        <v>120</v>
      </c>
      <c r="D13" s="130">
        <v>1.72</v>
      </c>
      <c r="E13" s="130">
        <f t="shared" si="0"/>
        <v>40.562466197944836</v>
      </c>
      <c r="F13" s="45" t="str">
        <f t="shared" si="1"/>
        <v>Obeso Grave</v>
      </c>
    </row>
  </sheetData>
  <mergeCells count="2">
    <mergeCell ref="A1:F1"/>
    <mergeCell ref="H1:J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31</vt:i4>
      </vt:variant>
    </vt:vector>
  </HeadingPairs>
  <TitlesOfParts>
    <vt:vector size="31" baseType="lpstr">
      <vt:lpstr>01-formatacao</vt:lpstr>
      <vt:lpstr>02-Listas</vt:lpstr>
      <vt:lpstr>03-Formatos Personalizados</vt:lpstr>
      <vt:lpstr>04-Classificacao e filtro</vt:lpstr>
      <vt:lpstr>05-Formulas e Funcoes</vt:lpstr>
      <vt:lpstr>06-Porcentagem</vt:lpstr>
      <vt:lpstr>07-Acrescimo 1</vt:lpstr>
      <vt:lpstr>08-Acrescimo 2</vt:lpstr>
      <vt:lpstr>09-Desconto 1</vt:lpstr>
      <vt:lpstr>10-Desconto 2</vt:lpstr>
      <vt:lpstr>11-Copia relativa</vt:lpstr>
      <vt:lpstr>12-Copia Mista</vt:lpstr>
      <vt:lpstr>13-Copia Absoluta</vt:lpstr>
      <vt:lpstr>14-Calculos Basicos 1</vt:lpstr>
      <vt:lpstr>15-Calculos Basicos 2</vt:lpstr>
      <vt:lpstr>16-Calculos Basicos 3</vt:lpstr>
      <vt:lpstr>17-Calculos Basicos 4</vt:lpstr>
      <vt:lpstr>18-Calculos Basicos 5</vt:lpstr>
      <vt:lpstr>19-Calculos Basicos 6</vt:lpstr>
      <vt:lpstr>20-Juros Simples</vt:lpstr>
      <vt:lpstr>21-Funcoes de Contagem 1</vt:lpstr>
      <vt:lpstr>22-Funcoes de Contagem 2</vt:lpstr>
      <vt:lpstr>23-Cont.se e Somase 1</vt:lpstr>
      <vt:lpstr>24-Cont.se e Somase 2</vt:lpstr>
      <vt:lpstr>25-Somase Mediase 1</vt:lpstr>
      <vt:lpstr>26-Funcao SE</vt:lpstr>
      <vt:lpstr>27-Funcao SE Aninhada</vt:lpstr>
      <vt:lpstr>28-SE com Texto</vt:lpstr>
      <vt:lpstr>30-Procv Exato 1</vt:lpstr>
      <vt:lpstr>31-Procv Exato 2</vt:lpstr>
      <vt:lpstr>32-Procv Aproximado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WILCK GOMES DE OLIVEIRA</dc:creator>
  <cp:lastModifiedBy>WILCK GOMES DE OLIVEIRA</cp:lastModifiedBy>
  <dcterms:created xsi:type="dcterms:W3CDTF">2026-02-11T21:53:46Z</dcterms:created>
  <dcterms:modified xsi:type="dcterms:W3CDTF">2026-02-27T00:17:07Z</dcterms:modified>
</cp:coreProperties>
</file>