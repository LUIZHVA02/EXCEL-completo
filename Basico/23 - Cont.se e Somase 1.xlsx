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BB653953-BB00-47C6-A863-4DBC0BA3C44D}" xr6:coauthVersionLast="36" xr6:coauthVersionMax="36" xr10:uidLastSave="{00000000-0000-0000-0000-000000000000}"/>
  <bookViews>
    <workbookView xWindow="0" yWindow="0" windowWidth="15360" windowHeight="7425" firstSheet="16" activeTab="16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  <sheet name="18-Calculos Basicos 5" sheetId="19" r:id="rId18"/>
    <sheet name="19-Calculos Basicos 6" sheetId="20" r:id="rId19"/>
    <sheet name="20-Juros Simples" sheetId="21" r:id="rId20"/>
    <sheet name="21-Funcoes de Contagem 1" sheetId="22" r:id="rId21"/>
    <sheet name="22-Funcoes de Contagem 2" sheetId="23" r:id="rId22"/>
    <sheet name="23-Cont.se e Somase 1" sheetId="24" r:id="rId2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8" l="1"/>
  <c r="F17" i="18"/>
  <c r="F16" i="18"/>
  <c r="F15" i="18"/>
  <c r="I9" i="24" l="1"/>
  <c r="H3" i="24"/>
  <c r="I7" i="24"/>
  <c r="H4" i="24"/>
  <c r="H5" i="24"/>
  <c r="H6" i="24"/>
  <c r="H7" i="24"/>
  <c r="H8" i="24"/>
  <c r="K3" i="23"/>
  <c r="E20" i="24"/>
  <c r="E6" i="24"/>
  <c r="I3" i="24" s="1"/>
  <c r="E11" i="24"/>
  <c r="E12" i="24"/>
  <c r="E14" i="24"/>
  <c r="I5" i="24" s="1"/>
  <c r="E15" i="24"/>
  <c r="E16" i="24"/>
  <c r="E13" i="24"/>
  <c r="E3" i="24"/>
  <c r="I6" i="24" s="1"/>
  <c r="E21" i="24"/>
  <c r="E4" i="24"/>
  <c r="E5" i="24"/>
  <c r="E17" i="24"/>
  <c r="E7" i="24"/>
  <c r="E8" i="24"/>
  <c r="E22" i="24"/>
  <c r="E18" i="24"/>
  <c r="E19" i="24"/>
  <c r="I8" i="24" s="1"/>
  <c r="E9" i="24"/>
  <c r="E10" i="24"/>
  <c r="I4" i="24" s="1"/>
  <c r="H9" i="24" l="1"/>
  <c r="C3" i="16"/>
  <c r="E5" i="22"/>
  <c r="E2" i="22"/>
  <c r="N4" i="23"/>
  <c r="N5" i="23"/>
  <c r="N3" i="23"/>
  <c r="K4" i="23"/>
  <c r="K5" i="23"/>
  <c r="H4" i="23"/>
  <c r="H5" i="23"/>
  <c r="H6" i="23"/>
  <c r="H7" i="23"/>
  <c r="H3" i="23"/>
  <c r="E3" i="22"/>
  <c r="E4" i="22"/>
  <c r="G4" i="21"/>
  <c r="G5" i="21"/>
  <c r="G6" i="21"/>
  <c r="G7" i="21"/>
  <c r="G8" i="21"/>
  <c r="G9" i="21"/>
  <c r="G10" i="21"/>
  <c r="G3" i="21"/>
  <c r="F4" i="21"/>
  <c r="F5" i="21"/>
  <c r="F6" i="21"/>
  <c r="F7" i="21"/>
  <c r="F8" i="21"/>
  <c r="F9" i="21"/>
  <c r="F10" i="21"/>
  <c r="F3" i="21"/>
  <c r="D18" i="20" l="1"/>
  <c r="D17" i="20"/>
  <c r="D16" i="20"/>
  <c r="D15" i="20"/>
  <c r="D10" i="20"/>
  <c r="D11" i="20"/>
  <c r="D12" i="20"/>
  <c r="D13" i="20"/>
  <c r="D9" i="20"/>
  <c r="F4" i="19" l="1"/>
  <c r="F5" i="19"/>
  <c r="F6" i="19"/>
  <c r="F7" i="19"/>
  <c r="F8" i="19"/>
  <c r="F3" i="19"/>
  <c r="D4" i="19"/>
  <c r="D5" i="19"/>
  <c r="D6" i="19"/>
  <c r="D7" i="19"/>
  <c r="D8" i="19"/>
  <c r="D3" i="19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<sst xmlns="http://schemas.openxmlformats.org/spreadsheetml/2006/main" count="364" uniqueCount="273">
  <si>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</si>
  <si>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</si>
  <si>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</si>
  <si>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</si>
  <si>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</si>
  <si>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</si>
  <si>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</si>
  <si>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</si>
  <si>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</si>
  <si>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</si>
  <si>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</si>
  <si>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</si>
  <si>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</si>
  <si>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</si>
  <si>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</si>
  <si>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</si>
  <si>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</si>
  <si>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</si>
  <si>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</si>
  <si>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</si>
  <si>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</si>
  <si>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</si>
  <si>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</si>
  <si>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</si>
  <si>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</si>
  <si>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</si>
  <si>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</si>
  <si>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</si>
  <si>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</si>
  <si>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</si>
  <si>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</si>
  <si>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</si>
  <si>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</si>
  <si>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</si>
  <si>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</si>
  <si>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</si>
  <si>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</si>
  <si>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</si>
  <si>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</si>
  <si>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</si>
  <si>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</si>
  <si>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</si>
  <si>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</si>
  <si>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</si>
  <si>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</si>
  <si>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</si>
  <si>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</si>
  <si>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</si>
  <si>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</si>
  <si>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</si>
  <si>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</si>
  <si>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</si>
  <si>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</si>
  <si>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</si>
  <si>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</si>
  <si>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</si>
  <si>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</si>
  <si>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</si>
  <si>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</si>
  <si>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</si>
  <si>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</si>
  <si>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</si>
  <si>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</si>
  <si>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</si>
  <si>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</si>
  <si>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</si>
  <si>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</si>
  <si>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</si>
  <si>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</si>
  <si>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</si>
  <si>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</si>
  <si>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</si>
  <si>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</si>
  <si>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</si>
  <si>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</si>
  <si>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</si>
  <si>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</si>
  <si>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</si>
  <si>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</si>
  <si>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</si>
  <si>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</si>
  <si>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</si>
  <si>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</si>
  <si>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</si>
  <si>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</si>
  <si>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</si>
  <si>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</si>
  <si>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</si>
  <si>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</si>
  <si>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</si>
  <si>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</si>
  <si>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</si>
  <si>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</si>
  <si>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</si>
  <si>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</si>
  <si>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</si>
  <si>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</si>
  <si>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</si>
  <si>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</si>
  <si>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</si>
  <si>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</si>
  <si>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</si>
  <si>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</si>
  <si>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</si>
  <si>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</si>
  <si>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</si>
  <si>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</si>
  <si>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</si>
  <si>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</si>
  <si>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</si>
  <si>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</si>
  <si>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</si>
  <si>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</si>
  <si>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</si>
  <si>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</si>
  <si>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</si>
  <si>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</si>
  <si>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</si>
  <si>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</si>
  <si>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</si>
  <si>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</si>
  <si>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</si>
  <si>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</si>
  <si>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</si>
  <si>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</si>
  <si>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</si>
  <si>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</si>
  <si>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</si>
  <si>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</si>
  <si>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</si>
  <si>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</si>
  <si>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</si>
  <si>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</si>
  <si>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</si>
  <si>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</si>
  <si>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</si>
  <si>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</si>
  <si>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</si>
  <si>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</si>
  <si>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</si>
  <si>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</si>
  <si>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</si>
  <si>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</si>
  <si>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</si>
  <si>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</si>
  <si>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</si>
  <si>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</si>
  <si>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</si>
  <si>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</si>
  <si>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</si>
  <si>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</si>
  <si>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</si>
  <si>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</si>
  <si>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</si>
  <si>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</si>
  <si>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</si>
  <si>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</si>
  <si>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</si>
  <si>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</si>
  <si>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</si>
  <si>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</si>
  <si>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</si>
  <si>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</si>
  <si>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</si>
  <si>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</si>
  <si>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</si>
  <si>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</si>
  <si>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</si>
  <si>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</si>
  <si>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</si>
  <si>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</si>
  <si>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</si>
  <si>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</si>
  <si>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</si>
  <si>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</si>
  <si>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</si>
  <si>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</si>
  <si>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</si>
  <si>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</si>
  <si>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</si>
  <si>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</si>
  <si>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</si>
  <si>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</si>
  <si>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</si>
  <si>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</si>
  <si>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</si>
  <si>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</si>
  <si>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</si>
  <si>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</si>
  <si>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</si>
  <si>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</si>
  <si>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</si>
  <si>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</si>
  <si>
    <t>MÊS DE CONSUMO</t>
  </si>
  <si>
    <t>CONSUMO DE KW/H</t>
  </si>
  <si>
    <t>VALOR DO KW/H</t>
  </si>
  <si>
    <t>VALOR A PAGAR</t>
  </si>
  <si>
    <t>TAXA DE ILUMINAÇÃO PÚBLICA (APLICAR A TAXA DE ACRÉSCIMO SOBRE O VALOR A PAGAR)</t>
  </si>
  <si>
    <t>CUSTO DE ENERGIA ELÉTRICA</t>
  </si>
  <si>
    <t>VALOR TOTAL DA CONTA</t>
  </si>
  <si>
    <t>TOTAL DO PEDIDO</t>
  </si>
  <si>
    <t>ICMS</t>
  </si>
  <si>
    <t>FRETE</t>
  </si>
  <si>
    <t>DESCRIÇÃO</t>
  </si>
  <si>
    <t>TOTAL</t>
  </si>
  <si>
    <t>DETALHES DO PRODUTO</t>
  </si>
  <si>
    <t>PEDIDO DE COMPRA INFOTECH</t>
  </si>
  <si>
    <t>Cidade</t>
  </si>
  <si>
    <t>Endereço</t>
  </si>
  <si>
    <t>SUBTOTAL DO PEDIDO</t>
  </si>
  <si>
    <t>Rua Antônio Queiroz Filho, 120</t>
  </si>
  <si>
    <t>São Paulo</t>
  </si>
  <si>
    <t>Teclado</t>
  </si>
  <si>
    <t>Mouse</t>
  </si>
  <si>
    <t>Caixa de Som</t>
  </si>
  <si>
    <t>Notebook</t>
  </si>
  <si>
    <t>Modem</t>
  </si>
  <si>
    <t>PARCELAS ATRASADAS</t>
  </si>
  <si>
    <t>CÓDIGO DO BOLETO</t>
  </si>
  <si>
    <t>NOME DO CLIENTE</t>
  </si>
  <si>
    <t>VALOR DO BOLETO</t>
  </si>
  <si>
    <t>% DE JUROS POR CADA DIA EM ATRASO</t>
  </si>
  <si>
    <t>DIAS EM ATRASO</t>
  </si>
  <si>
    <t>TOTAL A PAGAR</t>
  </si>
  <si>
    <t>VALOR DE JUROS (DE TODOS OS DIAS EM ATRASO)</t>
  </si>
  <si>
    <t>Maria</t>
  </si>
  <si>
    <t>Bruno</t>
  </si>
  <si>
    <t>Estevão</t>
  </si>
  <si>
    <t>Guilherme</t>
  </si>
  <si>
    <t>Pedro</t>
  </si>
  <si>
    <t>Marcelo</t>
  </si>
  <si>
    <t>Augusto</t>
  </si>
  <si>
    <t>Mauricio</t>
  </si>
  <si>
    <t>Jan</t>
  </si>
  <si>
    <t>CONTAGEM DE CÉLULAS</t>
  </si>
  <si>
    <t>Fev</t>
  </si>
  <si>
    <t>Total</t>
  </si>
  <si>
    <t>RESULTADOS</t>
  </si>
  <si>
    <t>CÉLULAS VAZIAS</t>
  </si>
  <si>
    <t>CÉLULAS PREENCHIDAS</t>
  </si>
  <si>
    <t>CÉLULAS COM NÚMEROS</t>
  </si>
  <si>
    <t>CÉLULAS COM VALORES MAIORES QUE 500</t>
  </si>
  <si>
    <t>FUNÇÕES DE CONTAR</t>
  </si>
  <si>
    <t>CONTAR NOMES</t>
  </si>
  <si>
    <t>CONTAR FRUTAS</t>
  </si>
  <si>
    <t>CONTAR NÚMEROS</t>
  </si>
  <si>
    <t>CONTAGEM DE NOMES</t>
  </si>
  <si>
    <t>CONTAGEM DE FRUTAS</t>
  </si>
  <si>
    <t>CONTAGEM DE NÚMEROS</t>
  </si>
  <si>
    <t>Ana</t>
  </si>
  <si>
    <t>João</t>
  </si>
  <si>
    <t>Marcia</t>
  </si>
  <si>
    <t>maçã</t>
  </si>
  <si>
    <t>laranja</t>
  </si>
  <si>
    <t>mamão</t>
  </si>
  <si>
    <t>&gt;5</t>
  </si>
  <si>
    <t>&lt;5</t>
  </si>
  <si>
    <t>CONTROLE DE VENDAS DE SAPATOS POR MARCA</t>
  </si>
  <si>
    <t>MARCA</t>
  </si>
  <si>
    <t>MODELO</t>
  </si>
  <si>
    <t>NÚMERO DE PARES COMPRADOS</t>
  </si>
  <si>
    <t>TOTAL A PAGAR POR MODELO</t>
  </si>
  <si>
    <t>PREÇO POR PAR</t>
  </si>
  <si>
    <t>CONTROLE POR MARCA</t>
  </si>
  <si>
    <t>QUANTIDADE DE PARES COMPRADOS POR MARCA</t>
  </si>
  <si>
    <t>TOTAL A PAGAR POR MARCA</t>
  </si>
  <si>
    <t>Azaléia</t>
  </si>
  <si>
    <t>Bibi</t>
  </si>
  <si>
    <t>Amapá</t>
  </si>
  <si>
    <t>Musa</t>
  </si>
  <si>
    <t>Dilly</t>
  </si>
  <si>
    <t>TOTAIS</t>
  </si>
  <si>
    <t>Beira 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</si>
</sst>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  <numFmt numFmtId="171" formatCode="0000&quot;-&quot;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0" fontId="0" fillId="4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9" fontId="0" fillId="0" borderId="2" xfId="3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4" fontId="0" fillId="0" borderId="2" xfId="2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71" fontId="0" fillId="0" borderId="5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60" t="s">
        <v>0</v>
      </c>
      <c r="B1" s="60"/>
      <c r="C1" s="60"/>
      <c r="D1" s="60"/>
    </row>
    <row r="2" spans="1:4" x14ac:dyDescent="0.25">
      <c r="A2" s="61" t="s">
        <v>1</v>
      </c>
      <c r="B2" s="62" t="s">
        <v>2</v>
      </c>
      <c r="C2" s="2">
        <v>23</v>
      </c>
      <c r="D2" s="1">
        <f>C2</f>
        <v>23</v>
      </c>
    </row>
    <row r="3" spans="1:4" x14ac:dyDescent="0.25">
      <c r="A3" s="61"/>
      <c r="B3" s="62"/>
      <c r="C3" s="3">
        <v>0.1</v>
      </c>
      <c r="D3" s="10">
        <f t="shared" ref="D3:D6" si="0">C3</f>
        <v>0.1</v>
      </c>
    </row>
    <row r="4" spans="1:4" x14ac:dyDescent="0.25">
      <c r="A4" s="61"/>
      <c r="B4" s="62"/>
      <c r="C4">
        <v>2.58</v>
      </c>
      <c r="D4" s="9">
        <f t="shared" si="0"/>
        <v>2.58</v>
      </c>
    </row>
    <row r="5" spans="1:4" x14ac:dyDescent="0.25">
      <c r="A5" s="61"/>
      <c r="B5" s="62"/>
      <c r="C5" s="4">
        <v>1000</v>
      </c>
      <c r="D5" s="11">
        <f t="shared" si="0"/>
        <v>1000</v>
      </c>
    </row>
    <row r="6" spans="1:4" x14ac:dyDescent="0.25">
      <c r="A6" s="61"/>
      <c r="B6" s="62"/>
      <c r="C6" s="5">
        <v>42567</v>
      </c>
      <c r="D6" s="8">
        <f t="shared" si="0"/>
        <v>42567</v>
      </c>
    </row>
    <row r="7" spans="1:4" ht="30" x14ac:dyDescent="0.25">
      <c r="A7" s="61"/>
      <c r="B7" s="62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63" t="s">
        <v>41</v>
      </c>
      <c r="B1" s="63"/>
      <c r="C1" s="63"/>
      <c r="D1" s="63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64" t="s">
        <v>46</v>
      </c>
      <c r="B1" s="64"/>
      <c r="C1" s="64"/>
      <c r="D1" s="64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11" sqref="B11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65" t="s">
        <v>78</v>
      </c>
      <c r="B1" s="65"/>
      <c r="C1" s="65"/>
      <c r="D1" s="65"/>
      <c r="E1" s="65"/>
      <c r="F1" s="65"/>
      <c r="G1" s="65"/>
      <c r="H1" s="65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66" t="s">
        <v>95</v>
      </c>
      <c r="B1" s="66"/>
      <c r="C1" s="66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E2" sqref="E2"/>
    </sheetView>
  </sheetViews>
  <sheetFormatPr defaultRowHeight="15" x14ac:dyDescent="0.25"/>
  <cols>
    <col min="1" max="4" width="18.28515625" customWidth="1"/>
  </cols>
  <sheetData>
    <row r="1" spans="1:4" x14ac:dyDescent="0.25">
      <c r="A1" s="66" t="s">
        <v>99</v>
      </c>
      <c r="B1" s="66"/>
      <c r="C1" s="66"/>
      <c r="D1" s="66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67" t="s">
        <v>99</v>
      </c>
      <c r="B1" s="68"/>
      <c r="C1" s="69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activeCell="E21" sqref="E21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66" t="s">
        <v>104</v>
      </c>
      <c r="B1" s="66"/>
      <c r="C1" s="66"/>
      <c r="D1" s="66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C15" sqref="C15"/>
    </sheetView>
  </sheetViews>
  <sheetFormatPr defaultColWidth="18.28515625" defaultRowHeight="15" x14ac:dyDescent="0.25"/>
  <sheetData>
    <row r="1" spans="1:3" x14ac:dyDescent="0.25">
      <c r="A1" s="67" t="s">
        <v>104</v>
      </c>
      <c r="B1" s="68"/>
      <c r="C1" s="69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C4" sqref="C4"/>
    </sheetView>
  </sheetViews>
  <sheetFormatPr defaultColWidth="18.28515625" defaultRowHeight="15" x14ac:dyDescent="0.25"/>
  <sheetData>
    <row r="1" spans="1:3" x14ac:dyDescent="0.25">
      <c r="A1" s="66" t="s">
        <v>112</v>
      </c>
      <c r="B1" s="66"/>
      <c r="C1" s="66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C3" sqref="C3"/>
    </sheetView>
  </sheetViews>
  <sheetFormatPr defaultColWidth="18.28515625" defaultRowHeight="15" x14ac:dyDescent="0.25"/>
  <sheetData>
    <row r="1" spans="1:3" x14ac:dyDescent="0.25">
      <c r="A1" s="66" t="s">
        <v>112</v>
      </c>
      <c r="B1" s="66"/>
      <c r="C1" s="66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F3" sqref="F3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70" t="s">
        <v>113</v>
      </c>
      <c r="B1" s="70"/>
      <c r="C1" s="70"/>
      <c r="D1" s="70"/>
      <c r="E1" s="70"/>
      <c r="F1" s="70"/>
      <c r="G1" s="70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E13" sqref="E13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70" t="s">
        <v>120</v>
      </c>
      <c r="B1" s="71"/>
      <c r="C1" s="71"/>
      <c r="D1" s="71"/>
      <c r="E1" s="71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72" t="s">
        <v>146</v>
      </c>
      <c r="D13" s="73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C9" sqref="C9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72" t="s">
        <v>148</v>
      </c>
      <c r="B1" s="74"/>
      <c r="C1" s="73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D7" sqref="D7"/>
    </sheetView>
  </sheetViews>
  <sheetFormatPr defaultColWidth="18.28515625" defaultRowHeight="15" x14ac:dyDescent="0.25"/>
  <sheetData>
    <row r="1" spans="1:4" x14ac:dyDescent="0.25">
      <c r="A1" s="75" t="s">
        <v>159</v>
      </c>
      <c r="B1" s="76"/>
      <c r="C1" s="76"/>
      <c r="D1" s="77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tabSelected="1" workbookViewId="0">
      <selection activeCell="F19" sqref="F19"/>
    </sheetView>
  </sheetViews>
  <sheetFormatPr defaultColWidth="18.28515625" defaultRowHeight="15" x14ac:dyDescent="0.25"/>
  <sheetData>
    <row r="1" spans="1:6" x14ac:dyDescent="0.25">
      <c r="A1" s="75" t="s">
        <v>171</v>
      </c>
      <c r="B1" s="76"/>
      <c r="C1" s="76"/>
      <c r="D1" s="76"/>
      <c r="E1" s="76"/>
      <c r="F1" s="77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50" t="s">
        <v>181</v>
      </c>
      <c r="B3" s="49">
        <v>41641</v>
      </c>
      <c r="C3" s="49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50" t="s">
        <v>182</v>
      </c>
      <c r="B4" s="49">
        <v>41640</v>
      </c>
      <c r="C4" s="49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50" t="s">
        <v>183</v>
      </c>
      <c r="B5" s="49">
        <v>41644</v>
      </c>
      <c r="C5" s="49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50" t="s">
        <v>184</v>
      </c>
      <c r="B6" s="49">
        <v>41649</v>
      </c>
      <c r="C6" s="49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50" t="s">
        <v>185</v>
      </c>
      <c r="B7" s="49">
        <v>41657</v>
      </c>
      <c r="C7" s="49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50" t="s">
        <v>186</v>
      </c>
      <c r="B8" s="49">
        <v>41646</v>
      </c>
      <c r="C8" s="49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50" t="s">
        <v>187</v>
      </c>
      <c r="B9" s="49">
        <v>41645</v>
      </c>
      <c r="C9" s="49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50" t="s">
        <v>188</v>
      </c>
      <c r="B10" s="49">
        <v>41651</v>
      </c>
      <c r="C10" s="49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50" t="s">
        <v>189</v>
      </c>
      <c r="B11" s="49">
        <v>41660</v>
      </c>
      <c r="C11" s="49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50" t="s">
        <v>190</v>
      </c>
      <c r="B12" s="49">
        <v>41657</v>
      </c>
      <c r="C12" s="49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50" t="s">
        <v>191</v>
      </c>
      <c r="B13" s="49">
        <v>41642</v>
      </c>
      <c r="C13" s="49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50" t="s">
        <v>192</v>
      </c>
      <c r="B14" s="49">
        <v>41646</v>
      </c>
      <c r="C14" s="49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71" t="s">
        <v>177</v>
      </c>
      <c r="E15" s="71"/>
      <c r="F15" s="26">
        <f>SUM(F3:F14)</f>
        <v>8669.24</v>
      </c>
    </row>
    <row r="16" spans="1:6" x14ac:dyDescent="0.25">
      <c r="D16" s="71" t="s">
        <v>178</v>
      </c>
      <c r="E16" s="71"/>
      <c r="F16" s="26">
        <f>AVERAGE(F3:F14)</f>
        <v>722.43666666666661</v>
      </c>
    </row>
    <row r="17" spans="4:6" x14ac:dyDescent="0.25">
      <c r="D17" s="71" t="s">
        <v>179</v>
      </c>
      <c r="E17" s="71"/>
      <c r="F17" s="26">
        <f>MAX(F3:F14)</f>
        <v>1670.3999999999999</v>
      </c>
    </row>
    <row r="18" spans="4:6" x14ac:dyDescent="0.25">
      <c r="D18" s="71" t="s">
        <v>180</v>
      </c>
      <c r="E18" s="71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BE0-667E-4B56-93A6-005263631C0C}">
  <dimension ref="A1:F8"/>
  <sheetViews>
    <sheetView workbookViewId="0">
      <selection activeCell="G2" sqref="G2"/>
    </sheetView>
  </sheetViews>
  <sheetFormatPr defaultColWidth="18.28515625" defaultRowHeight="15" x14ac:dyDescent="0.25"/>
  <cols>
    <col min="5" max="5" width="27.42578125" customWidth="1"/>
  </cols>
  <sheetData>
    <row r="1" spans="1:6" x14ac:dyDescent="0.25">
      <c r="A1" s="78" t="s">
        <v>198</v>
      </c>
      <c r="B1" s="78"/>
      <c r="C1" s="78"/>
      <c r="D1" s="78"/>
      <c r="E1" s="78"/>
      <c r="F1" s="78"/>
    </row>
    <row r="2" spans="1:6" ht="60" x14ac:dyDescent="0.25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199</v>
      </c>
    </row>
    <row r="3" spans="1:6" x14ac:dyDescent="0.25">
      <c r="A3" s="40" t="s">
        <v>24</v>
      </c>
      <c r="B3" s="40">
        <v>66</v>
      </c>
      <c r="C3" s="52">
        <v>0.4</v>
      </c>
      <c r="D3" s="43">
        <f>B3*C$3</f>
        <v>26.400000000000002</v>
      </c>
      <c r="E3" s="53">
        <v>0.17</v>
      </c>
      <c r="F3" s="43">
        <f>D3+(E$3*D3)</f>
        <v>30.888000000000002</v>
      </c>
    </row>
    <row r="4" spans="1:6" x14ac:dyDescent="0.25">
      <c r="A4" s="40" t="s">
        <v>26</v>
      </c>
      <c r="B4" s="40">
        <v>120</v>
      </c>
      <c r="C4" s="7"/>
      <c r="D4" s="43">
        <f t="shared" ref="D4:D8" si="0">B4*C$3</f>
        <v>48</v>
      </c>
      <c r="E4" s="7"/>
      <c r="F4" s="43">
        <f>D4+(E$3*D4)</f>
        <v>56.16</v>
      </c>
    </row>
    <row r="5" spans="1:6" x14ac:dyDescent="0.25">
      <c r="A5" s="40" t="s">
        <v>28</v>
      </c>
      <c r="B5" s="40">
        <v>75</v>
      </c>
      <c r="C5" s="7"/>
      <c r="D5" s="43">
        <f t="shared" si="0"/>
        <v>30</v>
      </c>
      <c r="E5" s="7"/>
      <c r="F5" s="43">
        <f t="shared" ref="F5:F8" si="1">D5+(E$3*D5)</f>
        <v>35.1</v>
      </c>
    </row>
    <row r="6" spans="1:6" x14ac:dyDescent="0.25">
      <c r="A6" s="40" t="s">
        <v>30</v>
      </c>
      <c r="B6" s="40">
        <v>80</v>
      </c>
      <c r="C6" s="7"/>
      <c r="D6" s="43">
        <f t="shared" si="0"/>
        <v>32</v>
      </c>
      <c r="E6" s="7"/>
      <c r="F6" s="43">
        <f t="shared" si="1"/>
        <v>37.44</v>
      </c>
    </row>
    <row r="7" spans="1:6" x14ac:dyDescent="0.25">
      <c r="A7" s="40" t="s">
        <v>32</v>
      </c>
      <c r="B7" s="40">
        <v>60</v>
      </c>
      <c r="C7" s="7"/>
      <c r="D7" s="43">
        <f t="shared" si="0"/>
        <v>24</v>
      </c>
      <c r="E7" s="7"/>
      <c r="F7" s="43">
        <f t="shared" si="1"/>
        <v>28.08</v>
      </c>
    </row>
    <row r="8" spans="1:6" x14ac:dyDescent="0.25">
      <c r="A8" s="40" t="s">
        <v>34</v>
      </c>
      <c r="B8" s="40">
        <v>55</v>
      </c>
      <c r="C8" s="7"/>
      <c r="D8" s="43">
        <f t="shared" si="0"/>
        <v>22</v>
      </c>
      <c r="E8" s="7"/>
      <c r="F8" s="43">
        <f t="shared" si="1"/>
        <v>25.740000000000002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01D7-7F77-4352-94FA-C4188689A143}">
  <dimension ref="A1:D18"/>
  <sheetViews>
    <sheetView workbookViewId="0">
      <selection activeCell="F26" sqref="F26"/>
    </sheetView>
  </sheetViews>
  <sheetFormatPr defaultColWidth="18.28515625" defaultRowHeight="15" x14ac:dyDescent="0.25"/>
  <sheetData>
    <row r="1" spans="1:4" x14ac:dyDescent="0.25">
      <c r="A1" s="78" t="s">
        <v>206</v>
      </c>
      <c r="B1" s="78"/>
      <c r="C1" s="78"/>
      <c r="D1" s="78"/>
    </row>
    <row r="2" spans="1:4" x14ac:dyDescent="0.25">
      <c r="A2" s="51" t="s">
        <v>208</v>
      </c>
      <c r="B2" s="79" t="s">
        <v>210</v>
      </c>
      <c r="C2" s="80"/>
      <c r="D2" s="81"/>
    </row>
    <row r="3" spans="1:4" x14ac:dyDescent="0.25">
      <c r="A3" s="51" t="s">
        <v>43</v>
      </c>
      <c r="B3" s="82">
        <v>5144230</v>
      </c>
      <c r="C3" s="83"/>
      <c r="D3" s="84"/>
    </row>
    <row r="4" spans="1:4" x14ac:dyDescent="0.25">
      <c r="A4" s="51" t="s">
        <v>207</v>
      </c>
      <c r="B4" s="79" t="s">
        <v>211</v>
      </c>
      <c r="C4" s="80"/>
      <c r="D4" s="81"/>
    </row>
    <row r="5" spans="1:4" x14ac:dyDescent="0.25">
      <c r="A5" s="51" t="s">
        <v>154</v>
      </c>
      <c r="B5" s="85">
        <v>33337878</v>
      </c>
      <c r="C5" s="86"/>
      <c r="D5" s="87"/>
    </row>
    <row r="7" spans="1:4" x14ac:dyDescent="0.25">
      <c r="A7" s="78" t="s">
        <v>205</v>
      </c>
      <c r="B7" s="78"/>
      <c r="C7" s="78"/>
      <c r="D7" s="78"/>
    </row>
    <row r="8" spans="1:4" x14ac:dyDescent="0.25">
      <c r="A8" s="38" t="s">
        <v>203</v>
      </c>
      <c r="B8" s="38" t="s">
        <v>123</v>
      </c>
      <c r="C8" s="38" t="s">
        <v>124</v>
      </c>
      <c r="D8" s="38" t="s">
        <v>204</v>
      </c>
    </row>
    <row r="9" spans="1:4" x14ac:dyDescent="0.25">
      <c r="A9" s="19" t="s">
        <v>212</v>
      </c>
      <c r="B9" s="42">
        <v>120</v>
      </c>
      <c r="C9" s="41">
        <v>55</v>
      </c>
      <c r="D9" s="43">
        <f>B9*C9</f>
        <v>6600</v>
      </c>
    </row>
    <row r="10" spans="1:4" x14ac:dyDescent="0.25">
      <c r="A10" s="19" t="s">
        <v>213</v>
      </c>
      <c r="B10" s="42">
        <v>35</v>
      </c>
      <c r="C10" s="41">
        <v>30</v>
      </c>
      <c r="D10" s="43">
        <f t="shared" ref="D10:D13" si="0">B10*C10</f>
        <v>1050</v>
      </c>
    </row>
    <row r="11" spans="1:4" x14ac:dyDescent="0.25">
      <c r="A11" s="19" t="s">
        <v>214</v>
      </c>
      <c r="B11" s="42">
        <v>45</v>
      </c>
      <c r="C11" s="41">
        <v>68</v>
      </c>
      <c r="D11" s="43">
        <f t="shared" si="0"/>
        <v>3060</v>
      </c>
    </row>
    <row r="12" spans="1:4" x14ac:dyDescent="0.25">
      <c r="A12" s="19" t="s">
        <v>215</v>
      </c>
      <c r="B12" s="42">
        <v>8</v>
      </c>
      <c r="C12" s="41">
        <v>2450</v>
      </c>
      <c r="D12" s="43">
        <f t="shared" si="0"/>
        <v>19600</v>
      </c>
    </row>
    <row r="13" spans="1:4" x14ac:dyDescent="0.25">
      <c r="A13" s="19" t="s">
        <v>216</v>
      </c>
      <c r="B13" s="42">
        <v>39</v>
      </c>
      <c r="C13" s="41">
        <v>320</v>
      </c>
      <c r="D13" s="43">
        <f t="shared" si="0"/>
        <v>12480</v>
      </c>
    </row>
    <row r="15" spans="1:4" x14ac:dyDescent="0.25">
      <c r="B15" s="72" t="s">
        <v>209</v>
      </c>
      <c r="C15" s="73"/>
      <c r="D15" s="26">
        <f>SUM(D9:D13)</f>
        <v>42790</v>
      </c>
    </row>
    <row r="16" spans="1:4" x14ac:dyDescent="0.25">
      <c r="B16" s="39" t="s">
        <v>201</v>
      </c>
      <c r="C16" s="54">
        <v>0.18</v>
      </c>
      <c r="D16" s="26">
        <f>$D$15*C16</f>
        <v>7702.2</v>
      </c>
    </row>
    <row r="17" spans="2:4" x14ac:dyDescent="0.25">
      <c r="B17" s="39" t="s">
        <v>202</v>
      </c>
      <c r="C17" s="53">
        <v>0.05</v>
      </c>
      <c r="D17" s="26">
        <f>$D$15*C17</f>
        <v>2139.5</v>
      </c>
    </row>
    <row r="18" spans="2:4" x14ac:dyDescent="0.25">
      <c r="B18" s="72" t="s">
        <v>200</v>
      </c>
      <c r="C18" s="73"/>
      <c r="D18" s="26">
        <f>SUM(D15:D17)</f>
        <v>52631.7</v>
      </c>
    </row>
  </sheetData>
  <mergeCells count="8">
    <mergeCell ref="A1:D1"/>
    <mergeCell ref="A7:D7"/>
    <mergeCell ref="B15:C15"/>
    <mergeCell ref="B18:C18"/>
    <mergeCell ref="B2:D2"/>
    <mergeCell ref="B3:D3"/>
    <mergeCell ref="B4:D4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F3AF-F23A-43F7-9256-3E15A368517C}">
  <dimension ref="A1:G10"/>
  <sheetViews>
    <sheetView workbookViewId="0">
      <selection activeCell="F4" sqref="F4"/>
    </sheetView>
  </sheetViews>
  <sheetFormatPr defaultColWidth="18.28515625" defaultRowHeight="15" x14ac:dyDescent="0.25"/>
  <sheetData>
    <row r="1" spans="1:7" ht="15.75" x14ac:dyDescent="0.25">
      <c r="A1" s="88" t="s">
        <v>217</v>
      </c>
      <c r="B1" s="89"/>
      <c r="C1" s="89"/>
      <c r="D1" s="89"/>
      <c r="E1" s="89"/>
      <c r="F1" s="89"/>
      <c r="G1" s="89"/>
    </row>
    <row r="2" spans="1:7" ht="47.25" x14ac:dyDescent="0.25">
      <c r="A2" s="55" t="s">
        <v>218</v>
      </c>
      <c r="B2" s="55" t="s">
        <v>219</v>
      </c>
      <c r="C2" s="55" t="s">
        <v>220</v>
      </c>
      <c r="D2" s="55" t="s">
        <v>221</v>
      </c>
      <c r="E2" s="55" t="s">
        <v>222</v>
      </c>
      <c r="F2" s="55" t="s">
        <v>224</v>
      </c>
      <c r="G2" s="55" t="s">
        <v>223</v>
      </c>
    </row>
    <row r="3" spans="1:7" x14ac:dyDescent="0.25">
      <c r="A3" s="42">
        <v>12748</v>
      </c>
      <c r="B3" s="56" t="s">
        <v>225</v>
      </c>
      <c r="C3" s="34">
        <v>150</v>
      </c>
      <c r="D3" s="46">
        <v>1.5599999999999999E-2</v>
      </c>
      <c r="E3" s="42">
        <v>7</v>
      </c>
      <c r="F3" s="41">
        <f>C3*D3*E3</f>
        <v>16.38</v>
      </c>
      <c r="G3" s="41">
        <f>SUM(F3,C3)</f>
        <v>166.38</v>
      </c>
    </row>
    <row r="4" spans="1:7" x14ac:dyDescent="0.25">
      <c r="A4" s="42">
        <v>9105</v>
      </c>
      <c r="B4" s="56" t="s">
        <v>232</v>
      </c>
      <c r="C4" s="34">
        <v>500</v>
      </c>
      <c r="D4" s="46">
        <v>2.47E-2</v>
      </c>
      <c r="E4" s="42">
        <v>2</v>
      </c>
      <c r="F4" s="41">
        <f t="shared" ref="F4:F10" si="0">C4*D4*E4</f>
        <v>24.7</v>
      </c>
      <c r="G4" s="41">
        <f t="shared" ref="G4:G10" si="1">SUM(F4,C4)</f>
        <v>524.70000000000005</v>
      </c>
    </row>
    <row r="5" spans="1:7" x14ac:dyDescent="0.25">
      <c r="A5" s="42">
        <v>4478</v>
      </c>
      <c r="B5" s="56" t="s">
        <v>226</v>
      </c>
      <c r="C5" s="34">
        <v>300</v>
      </c>
      <c r="D5" s="46">
        <v>1.2699999999999999E-2</v>
      </c>
      <c r="E5" s="42">
        <v>8</v>
      </c>
      <c r="F5" s="41">
        <f t="shared" si="0"/>
        <v>30.48</v>
      </c>
      <c r="G5" s="41">
        <f t="shared" si="1"/>
        <v>330.48</v>
      </c>
    </row>
    <row r="6" spans="1:7" x14ac:dyDescent="0.25">
      <c r="A6" s="42">
        <v>1275</v>
      </c>
      <c r="B6" s="56" t="s">
        <v>227</v>
      </c>
      <c r="C6" s="34">
        <v>400</v>
      </c>
      <c r="D6" s="46">
        <v>2.5000000000000001E-2</v>
      </c>
      <c r="E6" s="42">
        <v>10</v>
      </c>
      <c r="F6" s="41">
        <f t="shared" si="0"/>
        <v>100</v>
      </c>
      <c r="G6" s="41">
        <f t="shared" si="1"/>
        <v>500</v>
      </c>
    </row>
    <row r="7" spans="1:7" x14ac:dyDescent="0.25">
      <c r="A7" s="42">
        <v>6354</v>
      </c>
      <c r="B7" s="56" t="s">
        <v>228</v>
      </c>
      <c r="C7" s="34">
        <v>200</v>
      </c>
      <c r="D7" s="46">
        <v>2.8000000000000001E-2</v>
      </c>
      <c r="E7" s="42">
        <v>8</v>
      </c>
      <c r="F7" s="41">
        <f t="shared" si="0"/>
        <v>44.800000000000004</v>
      </c>
      <c r="G7" s="41">
        <f t="shared" si="1"/>
        <v>244.8</v>
      </c>
    </row>
    <row r="8" spans="1:7" x14ac:dyDescent="0.25">
      <c r="A8" s="42">
        <v>9001</v>
      </c>
      <c r="B8" s="56" t="s">
        <v>229</v>
      </c>
      <c r="C8" s="34">
        <v>100</v>
      </c>
      <c r="D8" s="46">
        <v>3.6999999999999998E-2</v>
      </c>
      <c r="E8" s="42">
        <v>15</v>
      </c>
      <c r="F8" s="41">
        <f t="shared" si="0"/>
        <v>55.499999999999993</v>
      </c>
      <c r="G8" s="41">
        <f t="shared" si="1"/>
        <v>155.5</v>
      </c>
    </row>
    <row r="9" spans="1:7" x14ac:dyDescent="0.25">
      <c r="A9" s="42">
        <v>2748</v>
      </c>
      <c r="B9" s="56" t="s">
        <v>230</v>
      </c>
      <c r="C9" s="34">
        <v>520</v>
      </c>
      <c r="D9" s="46">
        <v>1.2200000000000001E-2</v>
      </c>
      <c r="E9" s="42">
        <v>18</v>
      </c>
      <c r="F9" s="41">
        <f t="shared" si="0"/>
        <v>114.19200000000001</v>
      </c>
      <c r="G9" s="41">
        <f t="shared" si="1"/>
        <v>634.19200000000001</v>
      </c>
    </row>
    <row r="10" spans="1:7" x14ac:dyDescent="0.25">
      <c r="A10" s="42">
        <v>1219</v>
      </c>
      <c r="B10" s="56" t="s">
        <v>231</v>
      </c>
      <c r="C10" s="34">
        <v>890</v>
      </c>
      <c r="D10" s="46">
        <v>2.4400000000000002E-2</v>
      </c>
      <c r="E10" s="42">
        <v>12</v>
      </c>
      <c r="F10" s="41">
        <f t="shared" si="0"/>
        <v>260.59199999999998</v>
      </c>
      <c r="G10" s="41">
        <f t="shared" si="1"/>
        <v>1150.5920000000001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54B5-25A7-41EB-9A1B-20B533475097}">
  <dimension ref="A1:E12"/>
  <sheetViews>
    <sheetView workbookViewId="0">
      <selection activeCell="E5" sqref="E5"/>
    </sheetView>
  </sheetViews>
  <sheetFormatPr defaultColWidth="18.28515625" defaultRowHeight="15" x14ac:dyDescent="0.25"/>
  <cols>
    <col min="3" max="3" width="3.42578125" customWidth="1"/>
    <col min="4" max="4" width="45.7109375" customWidth="1"/>
    <col min="5" max="5" width="9.140625" customWidth="1"/>
  </cols>
  <sheetData>
    <row r="1" spans="1:5" x14ac:dyDescent="0.25">
      <c r="A1" s="70" t="s">
        <v>234</v>
      </c>
      <c r="B1" s="71"/>
      <c r="D1" s="75" t="s">
        <v>237</v>
      </c>
      <c r="E1" s="77"/>
    </row>
    <row r="2" spans="1:5" x14ac:dyDescent="0.25">
      <c r="A2" s="40"/>
      <c r="B2" s="40"/>
      <c r="D2" s="58" t="s">
        <v>238</v>
      </c>
      <c r="E2" s="40">
        <f>COUNTBLANK(A2:B12)</f>
        <v>8</v>
      </c>
    </row>
    <row r="3" spans="1:5" x14ac:dyDescent="0.25">
      <c r="A3" s="40" t="s">
        <v>233</v>
      </c>
      <c r="B3" s="40" t="s">
        <v>235</v>
      </c>
      <c r="D3" s="58" t="s">
        <v>239</v>
      </c>
      <c r="E3" s="40">
        <f>COUNTA(A2:B12)</f>
        <v>14</v>
      </c>
    </row>
    <row r="4" spans="1:5" x14ac:dyDescent="0.25">
      <c r="A4" s="40">
        <v>525</v>
      </c>
      <c r="B4" s="40">
        <v>718</v>
      </c>
      <c r="D4" s="58" t="s">
        <v>240</v>
      </c>
      <c r="E4" s="40">
        <f>COUNT(A2:B12)</f>
        <v>7</v>
      </c>
    </row>
    <row r="5" spans="1:5" x14ac:dyDescent="0.25">
      <c r="A5" s="40"/>
      <c r="B5" s="40"/>
      <c r="D5" s="58" t="s">
        <v>241</v>
      </c>
      <c r="E5" s="40">
        <f>COUNTIF(A2:B12,"&gt;500")</f>
        <v>4</v>
      </c>
    </row>
    <row r="6" spans="1:5" x14ac:dyDescent="0.25">
      <c r="A6" s="40">
        <v>3</v>
      </c>
      <c r="B6" s="40"/>
    </row>
    <row r="7" spans="1:5" x14ac:dyDescent="0.25">
      <c r="A7" s="40">
        <v>552</v>
      </c>
      <c r="B7" s="40">
        <v>911</v>
      </c>
    </row>
    <row r="8" spans="1:5" x14ac:dyDescent="0.25">
      <c r="A8" s="40">
        <v>250</v>
      </c>
      <c r="B8" s="40">
        <v>98</v>
      </c>
    </row>
    <row r="9" spans="1:5" x14ac:dyDescent="0.25">
      <c r="A9" s="40"/>
      <c r="B9" s="40"/>
    </row>
    <row r="10" spans="1:5" x14ac:dyDescent="0.25">
      <c r="A10" s="40" t="s">
        <v>236</v>
      </c>
      <c r="B10" s="40" t="b">
        <v>0</v>
      </c>
    </row>
    <row r="11" spans="1:5" x14ac:dyDescent="0.25">
      <c r="A11" s="40"/>
      <c r="B11" s="40" t="e">
        <v>#N/A</v>
      </c>
    </row>
    <row r="12" spans="1:5" x14ac:dyDescent="0.25">
      <c r="A12" s="40" t="b">
        <v>1</v>
      </c>
      <c r="B12" s="40" t="e">
        <v>#NAME?</v>
      </c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066E-1EC3-4B85-B2F5-9128E207693E}">
  <dimension ref="A1:N11"/>
  <sheetViews>
    <sheetView workbookViewId="0">
      <selection activeCell="K6" sqref="K6"/>
    </sheetView>
  </sheetViews>
  <sheetFormatPr defaultColWidth="18.28515625" defaultRowHeight="15" x14ac:dyDescent="0.25"/>
  <cols>
    <col min="2" max="2" width="3.42578125" customWidth="1"/>
    <col min="4" max="4" width="3.42578125" customWidth="1"/>
    <col min="6" max="6" width="3.42578125" customWidth="1"/>
    <col min="9" max="9" width="3.42578125" customWidth="1"/>
    <col min="12" max="12" width="3.42578125" customWidth="1"/>
  </cols>
  <sheetData>
    <row r="1" spans="1:14" x14ac:dyDescent="0.25">
      <c r="A1" s="70" t="s">
        <v>242</v>
      </c>
      <c r="B1" s="70"/>
      <c r="C1" s="70"/>
      <c r="D1" s="70"/>
      <c r="E1" s="70"/>
      <c r="G1" s="70" t="s">
        <v>237</v>
      </c>
      <c r="H1" s="71"/>
      <c r="I1" s="71"/>
      <c r="J1" s="71"/>
      <c r="K1" s="71"/>
      <c r="L1" s="71"/>
      <c r="M1" s="71"/>
      <c r="N1" s="71"/>
    </row>
    <row r="2" spans="1:14" ht="22.5" customHeight="1" x14ac:dyDescent="0.25">
      <c r="A2" s="48" t="s">
        <v>243</v>
      </c>
      <c r="B2" s="7"/>
      <c r="C2" s="48" t="s">
        <v>244</v>
      </c>
      <c r="D2" s="7"/>
      <c r="E2" s="48" t="s">
        <v>245</v>
      </c>
      <c r="G2" s="90" t="s">
        <v>246</v>
      </c>
      <c r="H2" s="90"/>
      <c r="I2" s="7"/>
      <c r="J2" s="71" t="s">
        <v>247</v>
      </c>
      <c r="K2" s="71"/>
      <c r="L2" s="7"/>
      <c r="M2" s="71" t="s">
        <v>248</v>
      </c>
      <c r="N2" s="71"/>
    </row>
    <row r="3" spans="1:14" x14ac:dyDescent="0.25">
      <c r="A3" s="40" t="s">
        <v>249</v>
      </c>
      <c r="B3" s="7"/>
      <c r="C3" s="40" t="s">
        <v>252</v>
      </c>
      <c r="D3" s="7"/>
      <c r="E3" s="40">
        <v>3</v>
      </c>
      <c r="G3" s="40" t="s">
        <v>249</v>
      </c>
      <c r="H3" s="40">
        <f>COUNTIF($A$3:$A$11,G3)</f>
        <v>3</v>
      </c>
      <c r="I3" s="7"/>
      <c r="J3" s="40" t="s">
        <v>252</v>
      </c>
      <c r="K3" s="40">
        <f>COUNTIF($C$3:$C$11,J3)</f>
        <v>3</v>
      </c>
      <c r="L3" s="7"/>
      <c r="M3" s="40" t="s">
        <v>255</v>
      </c>
      <c r="N3" s="40">
        <f>COUNTIF($E$3:$E$11,M3)</f>
        <v>2</v>
      </c>
    </row>
    <row r="4" spans="1:14" x14ac:dyDescent="0.25">
      <c r="A4" s="40" t="s">
        <v>229</v>
      </c>
      <c r="B4" s="7"/>
      <c r="C4" s="40" t="s">
        <v>253</v>
      </c>
      <c r="D4" s="7"/>
      <c r="E4" s="40">
        <v>8</v>
      </c>
      <c r="G4" s="40" t="s">
        <v>229</v>
      </c>
      <c r="H4" s="40">
        <f t="shared" ref="H4:H7" si="0">COUNTIF($A$3:$A$11,G4)</f>
        <v>2</v>
      </c>
      <c r="I4" s="7"/>
      <c r="J4" s="40" t="s">
        <v>253</v>
      </c>
      <c r="K4" s="40">
        <f t="shared" ref="K4:K5" si="1">COUNTIF($C$3:$C$11,J4)</f>
        <v>2</v>
      </c>
      <c r="L4" s="7"/>
      <c r="M4" s="40" t="s">
        <v>256</v>
      </c>
      <c r="N4" s="40">
        <f t="shared" ref="N4:N5" si="2">COUNTIF($E$3:$E$11,M4)</f>
        <v>6</v>
      </c>
    </row>
    <row r="5" spans="1:14" x14ac:dyDescent="0.25">
      <c r="A5" s="40" t="s">
        <v>250</v>
      </c>
      <c r="B5" s="7"/>
      <c r="C5" s="40" t="s">
        <v>254</v>
      </c>
      <c r="D5" s="7"/>
      <c r="E5" s="40">
        <v>5</v>
      </c>
      <c r="G5" s="40" t="s">
        <v>250</v>
      </c>
      <c r="H5" s="40">
        <f t="shared" si="0"/>
        <v>2</v>
      </c>
      <c r="I5" s="7"/>
      <c r="J5" s="40" t="s">
        <v>254</v>
      </c>
      <c r="K5" s="40">
        <f t="shared" si="1"/>
        <v>4</v>
      </c>
      <c r="L5" s="7"/>
      <c r="M5" s="40">
        <v>5</v>
      </c>
      <c r="N5" s="40">
        <f t="shared" si="2"/>
        <v>1</v>
      </c>
    </row>
    <row r="6" spans="1:14" x14ac:dyDescent="0.25">
      <c r="A6" s="40" t="s">
        <v>251</v>
      </c>
      <c r="B6" s="7"/>
      <c r="C6" s="40" t="s">
        <v>253</v>
      </c>
      <c r="D6" s="7"/>
      <c r="E6" s="40">
        <v>4</v>
      </c>
      <c r="G6" s="40" t="s">
        <v>251</v>
      </c>
      <c r="H6" s="40">
        <f t="shared" si="0"/>
        <v>1</v>
      </c>
      <c r="I6" s="7"/>
      <c r="J6" s="7"/>
      <c r="K6" s="7"/>
      <c r="L6" s="7"/>
      <c r="M6" s="7"/>
      <c r="N6" s="7"/>
    </row>
    <row r="7" spans="1:14" x14ac:dyDescent="0.25">
      <c r="A7" s="40" t="s">
        <v>249</v>
      </c>
      <c r="B7" s="7"/>
      <c r="C7" s="40" t="s">
        <v>252</v>
      </c>
      <c r="D7" s="7"/>
      <c r="E7" s="40">
        <v>2</v>
      </c>
      <c r="G7" s="40" t="s">
        <v>225</v>
      </c>
      <c r="H7" s="40">
        <f t="shared" si="0"/>
        <v>1</v>
      </c>
      <c r="I7" s="7"/>
      <c r="J7" s="7"/>
      <c r="K7" s="7"/>
      <c r="L7" s="7"/>
      <c r="M7" s="7"/>
      <c r="N7" s="7"/>
    </row>
    <row r="8" spans="1:14" x14ac:dyDescent="0.25">
      <c r="A8" s="40" t="s">
        <v>225</v>
      </c>
      <c r="B8" s="7"/>
      <c r="C8" s="40" t="s">
        <v>254</v>
      </c>
      <c r="D8" s="7"/>
      <c r="E8" s="40">
        <v>3</v>
      </c>
    </row>
    <row r="9" spans="1:14" x14ac:dyDescent="0.25">
      <c r="A9" s="40" t="s">
        <v>229</v>
      </c>
      <c r="B9" s="7"/>
      <c r="C9" s="40" t="s">
        <v>252</v>
      </c>
      <c r="D9" s="7"/>
      <c r="E9" s="40">
        <v>6</v>
      </c>
    </row>
    <row r="10" spans="1:14" x14ac:dyDescent="0.25">
      <c r="A10" s="40" t="s">
        <v>249</v>
      </c>
      <c r="B10" s="7"/>
      <c r="C10" s="40" t="s">
        <v>254</v>
      </c>
      <c r="D10" s="7"/>
      <c r="E10" s="40">
        <v>1</v>
      </c>
    </row>
    <row r="11" spans="1:14" x14ac:dyDescent="0.25">
      <c r="A11" s="40" t="s">
        <v>250</v>
      </c>
      <c r="B11" s="7"/>
      <c r="C11" s="40" t="s">
        <v>254</v>
      </c>
      <c r="D11" s="7"/>
      <c r="E11" s="40">
        <v>2</v>
      </c>
    </row>
  </sheetData>
  <mergeCells count="5">
    <mergeCell ref="A1:E1"/>
    <mergeCell ref="G1:N1"/>
    <mergeCell ref="G2:H2"/>
    <mergeCell ref="J2:K2"/>
    <mergeCell ref="M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5E0B-A773-46F3-B50E-5F45ACBC2B46}">
  <dimension ref="A1:I22"/>
  <sheetViews>
    <sheetView workbookViewId="0">
      <selection activeCell="I9" sqref="I9"/>
    </sheetView>
  </sheetViews>
  <sheetFormatPr defaultColWidth="18.28515625" defaultRowHeight="15" x14ac:dyDescent="0.25"/>
  <cols>
    <col min="6" max="6" width="3.42578125" customWidth="1"/>
    <col min="8" max="8" width="27.42578125" customWidth="1"/>
  </cols>
  <sheetData>
    <row r="1" spans="1:9" x14ac:dyDescent="0.25">
      <c r="A1" s="91" t="s">
        <v>257</v>
      </c>
      <c r="B1" s="92"/>
      <c r="C1" s="92"/>
      <c r="D1" s="92"/>
      <c r="E1" s="93"/>
      <c r="G1" s="78" t="s">
        <v>263</v>
      </c>
      <c r="H1" s="78"/>
      <c r="I1" s="78"/>
    </row>
    <row r="2" spans="1:9" ht="42" customHeight="1" x14ac:dyDescent="0.25">
      <c r="A2" s="38" t="s">
        <v>258</v>
      </c>
      <c r="B2" s="38" t="s">
        <v>259</v>
      </c>
      <c r="C2" s="57" t="s">
        <v>262</v>
      </c>
      <c r="D2" s="38" t="s">
        <v>260</v>
      </c>
      <c r="E2" s="38" t="s">
        <v>261</v>
      </c>
      <c r="F2" s="7"/>
      <c r="G2" s="38" t="s">
        <v>258</v>
      </c>
      <c r="H2" s="38" t="s">
        <v>264</v>
      </c>
      <c r="I2" s="38" t="s">
        <v>265</v>
      </c>
    </row>
    <row r="3" spans="1:9" x14ac:dyDescent="0.25">
      <c r="A3" s="45" t="s">
        <v>268</v>
      </c>
      <c r="B3" s="40">
        <v>24</v>
      </c>
      <c r="C3" s="37">
        <v>80</v>
      </c>
      <c r="D3" s="42">
        <v>3620</v>
      </c>
      <c r="E3" s="37">
        <f t="shared" ref="E3:E22" si="0">C3*D3</f>
        <v>289600</v>
      </c>
      <c r="G3" s="45" t="s">
        <v>266</v>
      </c>
      <c r="H3" s="40">
        <f>SUMIF($A$3:$A$22,$G3,D$3:D$22)</f>
        <v>6851</v>
      </c>
      <c r="I3" s="41">
        <f>SUMIF($A$3:$A$22,$G3,E$3:E$22)</f>
        <v>320558</v>
      </c>
    </row>
    <row r="4" spans="1:9" x14ac:dyDescent="0.25">
      <c r="A4" s="45" t="s">
        <v>268</v>
      </c>
      <c r="B4" s="40">
        <v>10</v>
      </c>
      <c r="C4" s="37">
        <v>56</v>
      </c>
      <c r="D4" s="42">
        <v>1350</v>
      </c>
      <c r="E4" s="37">
        <f t="shared" si="0"/>
        <v>75600</v>
      </c>
      <c r="G4" s="45" t="s">
        <v>272</v>
      </c>
      <c r="H4" s="40">
        <f t="shared" ref="H4:I8" si="1">SUMIF($A$3:$A$22,$G4,D$3:D$22)</f>
        <v>13341</v>
      </c>
      <c r="I4" s="41">
        <f t="shared" si="1"/>
        <v>591345</v>
      </c>
    </row>
    <row r="5" spans="1:9" x14ac:dyDescent="0.25">
      <c r="A5" s="45" t="s">
        <v>268</v>
      </c>
      <c r="B5" s="40">
        <v>16</v>
      </c>
      <c r="C5" s="37">
        <v>81</v>
      </c>
      <c r="D5" s="42">
        <v>1255</v>
      </c>
      <c r="E5" s="37">
        <f t="shared" si="0"/>
        <v>101655</v>
      </c>
      <c r="G5" s="45" t="s">
        <v>267</v>
      </c>
      <c r="H5" s="40">
        <f t="shared" si="1"/>
        <v>10329</v>
      </c>
      <c r="I5" s="41">
        <f t="shared" si="1"/>
        <v>403393</v>
      </c>
    </row>
    <row r="6" spans="1:9" x14ac:dyDescent="0.25">
      <c r="A6" s="45" t="s">
        <v>266</v>
      </c>
      <c r="B6" s="40">
        <v>27</v>
      </c>
      <c r="C6" s="37">
        <v>58</v>
      </c>
      <c r="D6" s="42">
        <v>3251</v>
      </c>
      <c r="E6" s="37">
        <f t="shared" si="0"/>
        <v>188558</v>
      </c>
      <c r="G6" s="45" t="s">
        <v>268</v>
      </c>
      <c r="H6" s="40">
        <f t="shared" si="1"/>
        <v>6225</v>
      </c>
      <c r="I6" s="41">
        <f t="shared" si="1"/>
        <v>466855</v>
      </c>
    </row>
    <row r="7" spans="1:9" x14ac:dyDescent="0.25">
      <c r="A7" s="45" t="s">
        <v>266</v>
      </c>
      <c r="B7" s="40">
        <v>10</v>
      </c>
      <c r="C7" s="37">
        <v>29</v>
      </c>
      <c r="D7" s="42">
        <v>1200</v>
      </c>
      <c r="E7" s="37">
        <f t="shared" si="0"/>
        <v>34800</v>
      </c>
      <c r="G7" s="45" t="s">
        <v>269</v>
      </c>
      <c r="H7" s="40">
        <f t="shared" si="1"/>
        <v>8801</v>
      </c>
      <c r="I7" s="41">
        <f t="shared" si="1"/>
        <v>307141</v>
      </c>
    </row>
    <row r="8" spans="1:9" x14ac:dyDescent="0.25">
      <c r="A8" s="45" t="s">
        <v>266</v>
      </c>
      <c r="B8" s="40">
        <v>10</v>
      </c>
      <c r="C8" s="37">
        <v>31</v>
      </c>
      <c r="D8" s="42">
        <v>1200</v>
      </c>
      <c r="E8" s="37">
        <f t="shared" si="0"/>
        <v>37200</v>
      </c>
      <c r="G8" s="45" t="s">
        <v>270</v>
      </c>
      <c r="H8" s="40">
        <f t="shared" si="1"/>
        <v>1200</v>
      </c>
      <c r="I8" s="41">
        <f t="shared" si="1"/>
        <v>54000</v>
      </c>
    </row>
    <row r="9" spans="1:9" x14ac:dyDescent="0.25">
      <c r="A9" s="45" t="s">
        <v>266</v>
      </c>
      <c r="B9" s="40">
        <v>17</v>
      </c>
      <c r="C9" s="37">
        <v>50</v>
      </c>
      <c r="D9" s="42">
        <v>1200</v>
      </c>
      <c r="E9" s="37">
        <f t="shared" si="0"/>
        <v>60000</v>
      </c>
      <c r="G9" s="40" t="s">
        <v>271</v>
      </c>
      <c r="H9" s="40">
        <f>SUM(H3:H8)</f>
        <v>46747</v>
      </c>
      <c r="I9" s="41">
        <f>SUM(I3:I8)</f>
        <v>2143292</v>
      </c>
    </row>
    <row r="10" spans="1:9" x14ac:dyDescent="0.25">
      <c r="A10" s="45" t="s">
        <v>272</v>
      </c>
      <c r="B10" s="40">
        <v>21</v>
      </c>
      <c r="C10" s="59">
        <v>45</v>
      </c>
      <c r="D10" s="42">
        <v>1541</v>
      </c>
      <c r="E10" s="37">
        <f t="shared" si="0"/>
        <v>69345</v>
      </c>
    </row>
    <row r="11" spans="1:9" x14ac:dyDescent="0.25">
      <c r="A11" s="45" t="s">
        <v>272</v>
      </c>
      <c r="B11" s="40">
        <v>10</v>
      </c>
      <c r="C11" s="37">
        <v>18</v>
      </c>
      <c r="D11" s="42">
        <v>5400</v>
      </c>
      <c r="E11" s="37">
        <f t="shared" si="0"/>
        <v>97200</v>
      </c>
    </row>
    <row r="12" spans="1:9" x14ac:dyDescent="0.25">
      <c r="A12" s="45" t="s">
        <v>272</v>
      </c>
      <c r="B12" s="40">
        <v>22</v>
      </c>
      <c r="C12" s="37">
        <v>29</v>
      </c>
      <c r="D12" s="42">
        <v>1200</v>
      </c>
      <c r="E12" s="37">
        <f t="shared" si="0"/>
        <v>34800</v>
      </c>
    </row>
    <row r="13" spans="1:9" x14ac:dyDescent="0.25">
      <c r="A13" s="45" t="s">
        <v>272</v>
      </c>
      <c r="B13" s="40">
        <v>15</v>
      </c>
      <c r="C13" s="37">
        <v>75</v>
      </c>
      <c r="D13" s="42">
        <v>5200</v>
      </c>
      <c r="E13" s="37">
        <f t="shared" si="0"/>
        <v>390000</v>
      </c>
    </row>
    <row r="14" spans="1:9" x14ac:dyDescent="0.25">
      <c r="A14" s="45" t="s">
        <v>267</v>
      </c>
      <c r="B14" s="40">
        <v>26</v>
      </c>
      <c r="C14" s="37">
        <v>32</v>
      </c>
      <c r="D14" s="42">
        <v>3220</v>
      </c>
      <c r="E14" s="37">
        <f t="shared" si="0"/>
        <v>103040</v>
      </c>
    </row>
    <row r="15" spans="1:9" x14ac:dyDescent="0.25">
      <c r="A15" s="45" t="s">
        <v>267</v>
      </c>
      <c r="B15" s="40">
        <v>19</v>
      </c>
      <c r="C15" s="37">
        <v>47</v>
      </c>
      <c r="D15" s="42">
        <v>2355</v>
      </c>
      <c r="E15" s="37">
        <f t="shared" si="0"/>
        <v>110685</v>
      </c>
    </row>
    <row r="16" spans="1:9" x14ac:dyDescent="0.25">
      <c r="A16" s="45" t="s">
        <v>267</v>
      </c>
      <c r="B16" s="40">
        <v>20</v>
      </c>
      <c r="C16" s="37">
        <v>42</v>
      </c>
      <c r="D16" s="42">
        <v>1254</v>
      </c>
      <c r="E16" s="37">
        <f t="shared" si="0"/>
        <v>52668</v>
      </c>
    </row>
    <row r="17" spans="1:5" x14ac:dyDescent="0.25">
      <c r="A17" s="45" t="s">
        <v>267</v>
      </c>
      <c r="B17" s="40">
        <v>28</v>
      </c>
      <c r="C17" s="37">
        <v>38</v>
      </c>
      <c r="D17" s="42">
        <v>2500</v>
      </c>
      <c r="E17" s="37">
        <f t="shared" si="0"/>
        <v>95000</v>
      </c>
    </row>
    <row r="18" spans="1:5" x14ac:dyDescent="0.25">
      <c r="A18" s="45" t="s">
        <v>267</v>
      </c>
      <c r="B18" s="40">
        <v>29</v>
      </c>
      <c r="C18" s="37">
        <v>42</v>
      </c>
      <c r="D18" s="42">
        <v>1000</v>
      </c>
      <c r="E18" s="37">
        <f t="shared" si="0"/>
        <v>42000</v>
      </c>
    </row>
    <row r="19" spans="1:5" x14ac:dyDescent="0.25">
      <c r="A19" s="45" t="s">
        <v>270</v>
      </c>
      <c r="B19" s="40">
        <v>18</v>
      </c>
      <c r="C19" s="37">
        <v>45</v>
      </c>
      <c r="D19" s="42">
        <v>1200</v>
      </c>
      <c r="E19" s="37">
        <f t="shared" si="0"/>
        <v>54000</v>
      </c>
    </row>
    <row r="20" spans="1:5" x14ac:dyDescent="0.25">
      <c r="A20" s="45" t="s">
        <v>269</v>
      </c>
      <c r="B20" s="40">
        <v>14</v>
      </c>
      <c r="C20" s="37">
        <v>32</v>
      </c>
      <c r="D20" s="42">
        <v>6500</v>
      </c>
      <c r="E20" s="37">
        <f t="shared" si="0"/>
        <v>208000</v>
      </c>
    </row>
    <row r="21" spans="1:5" x14ac:dyDescent="0.25">
      <c r="A21" s="45" t="s">
        <v>269</v>
      </c>
      <c r="B21" s="40">
        <v>23</v>
      </c>
      <c r="C21" s="37">
        <v>45</v>
      </c>
      <c r="D21" s="42">
        <v>1200</v>
      </c>
      <c r="E21" s="37">
        <f t="shared" si="0"/>
        <v>54000</v>
      </c>
    </row>
    <row r="22" spans="1:5" x14ac:dyDescent="0.25">
      <c r="A22" s="45" t="s">
        <v>269</v>
      </c>
      <c r="B22" s="40">
        <v>25</v>
      </c>
      <c r="C22" s="37">
        <v>41</v>
      </c>
      <c r="D22" s="42">
        <v>1101</v>
      </c>
      <c r="E22" s="37">
        <f t="shared" si="0"/>
        <v>45141</v>
      </c>
    </row>
  </sheetData>
  <sortState ref="A3:E22">
    <sortCondition ref="A3"/>
  </sortState>
  <mergeCells count="2">
    <mergeCell ref="G1:I1"/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  <vt:lpstr>18-Calculos Basicos 5</vt:lpstr>
      <vt:lpstr>19-Calculos Basicos 6</vt:lpstr>
      <vt:lpstr>20-Juros Simples</vt:lpstr>
      <vt:lpstr>21-Funcoes de Contagem 1</vt:lpstr>
      <vt:lpstr>22-Funcoes de Contagem 2</vt:lpstr>
      <vt:lpstr>23-Cont.se e Somase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2026-02-25T00:49:57Z</dcterms:modified>
</cp:coreProperties>
</file>