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12BEDB66-E753-4B39-8135-D9DB02531E51}" xr6:coauthVersionLast="36" xr6:coauthVersionMax="36" xr10:uidLastSave="{00000000-0000-0000-0000-000000000000}"/>
  <bookViews>
    <workbookView xWindow="0" yWindow="0" windowWidth="15360" windowHeight="7425" firstSheet="31" activeTab="3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  <sheet name="34-Proch Exato 1" sheetId="35" r:id="rId33"/>
    <sheet name="35-Proch Exato 2" sheetId="37" r:id="rId34"/>
    <sheet name="36-Grafico 1" sheetId="38" r:id="rId35"/>
    <sheet name="37-Grafico 2" sheetId="39" r:id="rId3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7" l="1"/>
  <c r="J4" i="37"/>
  <c r="J5" i="37"/>
  <c r="I6" i="35" l="1"/>
  <c r="I5" i="35"/>
  <c r="I4" i="35"/>
  <c r="I3" i="35"/>
  <c r="D4" i="34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<sst xmlns="http://schemas.openxmlformats.org/spreadsheetml/2006/main" count="741" uniqueCount="491">
  <si>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</si>
  <si>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</si>
  <si>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</si>
  <si>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</si>
  <si>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</si>
  <si>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</si>
  <si>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</si>
  <si>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</si>
  <si>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</si>
  <si>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</si>
  <si>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</si>
  <si>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</si>
  <si>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</si>
  <si>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</si>
  <si>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</si>
  <si>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</si>
  <si>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</si>
  <si>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</si>
  <si>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</si>
  <si>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</si>
  <si>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</si>
  <si>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</si>
  <si>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</si>
  <si>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</si>
  <si>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</si>
  <si>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</si>
  <si>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</si>
  <si>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</si>
  <si>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</si>
  <si>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</si>
  <si>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</si>
  <si>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</si>
  <si>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</si>
  <si>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</si>
  <si>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</si>
  <si>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</si>
  <si>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</si>
  <si>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</si>
  <si>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</si>
  <si>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</si>
  <si>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</si>
  <si>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</si>
  <si>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</si>
  <si>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</si>
  <si>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</si>
  <si>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</si>
  <si>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</si>
  <si>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</si>
  <si>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</si>
  <si>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</si>
  <si>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</si>
  <si>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</si>
  <si>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</si>
  <si>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</si>
  <si>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</si>
  <si>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</si>
  <si>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</si>
  <si>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</si>
  <si>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</si>
  <si>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</si>
  <si>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</si>
  <si>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</si>
  <si>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</si>
  <si>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</si>
  <si>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</si>
  <si>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</si>
  <si>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</si>
  <si>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</si>
  <si>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</si>
  <si>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</si>
  <si>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</si>
  <si>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</si>
  <si>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</si>
  <si>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</si>
  <si>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</si>
  <si>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</si>
  <si>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</si>
  <si>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</si>
  <si>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</si>
  <si>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</si>
  <si>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</si>
  <si>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</si>
  <si>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</si>
  <si>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</si>
  <si>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</si>
  <si>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</si>
  <si>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</si>
  <si>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</si>
  <si>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</si>
  <si>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</si>
  <si>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</si>
  <si>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</si>
  <si>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</si>
  <si>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</si>
  <si>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</si>
  <si>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</si>
  <si>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</si>
  <si>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</si>
  <si>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</si>
  <si>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</si>
  <si>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</si>
  <si>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</si>
  <si>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</si>
  <si>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</si>
  <si>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</si>
  <si>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</si>
  <si>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</si>
  <si>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</si>
  <si>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</si>
  <si>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</si>
  <si>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</si>
  <si>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</si>
  <si>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</si>
  <si>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</si>
  <si>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</si>
  <si>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</si>
  <si>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</si>
  <si>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</si>
  <si>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</si>
  <si>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</si>
  <si>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</si>
  <si>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</si>
  <si>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</si>
  <si>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</si>
  <si>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</si>
  <si>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</si>
  <si>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</si>
  <si>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</si>
  <si>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</si>
  <si>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</si>
  <si>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</si>
  <si>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</si>
  <si>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</si>
  <si>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</si>
  <si>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</si>
  <si>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</si>
  <si>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</si>
  <si>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</si>
  <si>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</si>
  <si>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</si>
  <si>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</si>
  <si>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</si>
  <si>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</si>
  <si>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</si>
  <si>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</si>
  <si>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</si>
  <si>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</si>
  <si>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</si>
  <si>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</si>
  <si>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</si>
  <si>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</si>
  <si>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</si>
  <si>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</si>
  <si>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</si>
  <si>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</si>
  <si>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</si>
  <si>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</si>
  <si>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</si>
  <si>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</si>
  <si>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</si>
  <si>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</si>
  <si>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</si>
  <si>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</si>
  <si>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</si>
  <si>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</si>
  <si>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</si>
  <si>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</si>
  <si>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</si>
  <si>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</si>
  <si>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</si>
  <si>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</si>
  <si>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</si>
  <si>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</si>
  <si>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</si>
  <si>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</si>
  <si>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</si>
  <si>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</si>
  <si>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</si>
  <si>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</si>
  <si>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</si>
  <si>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</si>
  <si>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</si>
  <si>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</si>
  <si>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</si>
  <si>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</si>
  <si>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</si>
  <si>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</si>
  <si>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</si>
  <si>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</si>
  <si>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</si>
  <si>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</si>
  <si>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</si>
  <si>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</si>
  <si>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</si>
  <si>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</si>
  <si>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</si>
  <si>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</si>
  <si>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</si>
  <si>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</si>
  <si>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</si>
  <si>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</si>
  <si>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</si>
  <si>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</si>
  <si>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</si>
  <si>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</si>
  <si>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</si>
  <si>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</si>
  <si>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</si>
  <si>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</si>
  <si>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</si>
  <si>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</si>
  <si>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</si>
  <si>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</si>
  <si>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</si>
  <si>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</si>
  <si>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</si>
  <si>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</si>
  <si>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</si>
  <si>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</si>
  <si>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</si>
  <si>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</si>
  <si>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</si>
  <si>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</si>
  <si>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</si>
  <si>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</si>
  <si>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</si>
  <si>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</si>
  <si>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</si>
  <si>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</si>
  <si>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</si>
  <si>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</si>
  <si>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</si>
  <si>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</si>
  <si>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</si>
  <si>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</si>
  <si>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</si>
  <si>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</si>
  <si>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</si>
  <si>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</si>
  <si>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</si>
  <si>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</si>
  <si>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</si>
  <si>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</si>
  <si>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</si>
  <si>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</si>
  <si>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</si>
  <si>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</si>
  <si>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</si>
  <si>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</si>
  <si>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</si>
  <si>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</si>
  <si>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</si>
  <si>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</si>
  <si>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</si>
  <si>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</si>
  <si>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</si>
  <si>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</si>
  <si>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</si>
  <si>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</si>
  <si>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</si>
  <si>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</si>
  <si>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</si>
  <si>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</si>
  <si>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</si>
  <si>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</si>
  <si>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</si>
  <si>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</si>
  <si>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</si>
  <si>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</si>
  <si>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</si>
  <si>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</si>
  <si>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</si>
  <si>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</si>
  <si>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</si>
  <si>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</si>
  <si>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</si>
  <si>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</si>
  <si>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</si>
  <si>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</si>
  <si>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</si>
  <si>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</si>
  <si>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</si>
  <si>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</si>
  <si>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</si>
  <si>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</si>
  <si>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</si>
  <si>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</si>
  <si>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</si>
  <si>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</si>
  <si>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</si>
  <si>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</si>
  <si>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</si>
  <si>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</si>
  <si>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</si>
  <si>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</si>
  <si>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</si>
  <si>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</si>
  <si>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</si>
  <si>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</si>
  <si>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</si>
  <si>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</si>
  <si>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</si>
  <si>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</si>
  <si>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</si>
  <si>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</si>
  <si>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</si>
  <si>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</si>
  <si>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</si>
  <si>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</si>
  <si>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</si>
  <si>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</si>
  <si>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</si>
  <si>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</si>
  <si>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</si>
  <si>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</si>
  <si>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</si>
  <si>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</si>
  <si>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</si>
  <si>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</si>
  <si>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</si>
  <si>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</si>
  <si>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</si>
  <si>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</si>
  <si>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</si>
  <si>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</si>
  <si>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</si>
  <si>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</si>
  <si>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</si>
  <si>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</si>
  <si>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</si>
  <si>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</si>
  <si>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</si>
  <si>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</si>
  <si>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</si>
  <si>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</si>
  <si>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</si>
  <si>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</si>
  <si>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</si>
  <si>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</si>
  <si>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</si>
  <si>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</si>
  <si>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</si>
  <si>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</si>
  <si>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</si>
  <si>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</si>
  <si>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</si>
  <si>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</si>
  <si>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</si>
  <si>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</si>
  <si>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</si>
  <si>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</si>
  <si>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</si>
  <si>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</si>
  <si>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</si>
  <si>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</si>
  <si>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</si>
  <si>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</si>
  <si>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</si>
  <si>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</si>
  <si>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</si>
  <si>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</si>
  <si>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</si>
  <si>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</si>
  <si>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</si>
  <si>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</si>
  <si>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</si>
  <si>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</si>
  <si>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</si>
  <si>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</si>
  <si>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</si>
  <si>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</si>
  <si>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</si>
  <si>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</si>
  <si>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</si>
  <si>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</si>
  <si>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</si>
  <si>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</si>
  <si>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</si>
  <si>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</si>
  <si>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</si>
  <si>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</si>
  <si>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</si>
  <si>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</si>
  <si>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</si>
  <si>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</si>
  <si>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</si>
  <si>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</si>
  <si>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</si>
  <si>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</si>
  <si>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</si>
  <si>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</si>
  <si>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</si>
  <si>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</si>
  <si>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</si>
  <si>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</si>
  <si>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</si>
  <si>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</si>
  <si>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</si>
  <si>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</si>
  <si>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</si>
  <si>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</si>
  <si>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</si>
  <si>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</si>
  <si>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</si>
  <si>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</si>
  <si>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</si>
  <si>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</si>
  <si>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</si>
  <si>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</si>
  <si>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</si>
  <si>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</si>
  <si>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</si>
  <si>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</si>
  <si>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</si>
  <si>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</si>
  <si>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</si>
  <si>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</si>
  <si>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</si>
  <si>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</si>
  <si>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</si>
  <si>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</si>
  <si>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</si>
  <si>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</si>
  <si>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</si>
  <si>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</si>
  <si>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</si>
  <si>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</si>
  <si>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</si>
  <si>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</si>
  <si>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</si>
  <si>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</si>
  <si>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</si>
  <si>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</si>
  <si>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</si>
  <si>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</si>
  <si>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</si>
  <si>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</si>
  <si>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</si>
  <si>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</si>
  <si>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</si>
  <si>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</si>
  <si>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</si>
  <si>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</si>
  <si>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</si>
  <si>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</si>
  <si>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</si>
  <si>
    <t>PESQUISA</t>
  </si>
  <si>
    <t>FUNCIONÁRIOS</t>
  </si>
  <si>
    <t>Gerente de vendas</t>
  </si>
  <si>
    <t>Estagiário</t>
  </si>
  <si>
    <t>AA11</t>
  </si>
  <si>
    <t>AA12</t>
  </si>
  <si>
    <t>AA13</t>
  </si>
  <si>
    <t>AA14</t>
  </si>
  <si>
    <t>AA15</t>
  </si>
  <si>
    <t>EMPRESA</t>
  </si>
  <si>
    <t>CONTATO</t>
  </si>
  <si>
    <t>Nanci</t>
  </si>
  <si>
    <t>Janet</t>
  </si>
  <si>
    <t>Margaret</t>
  </si>
  <si>
    <t>Steven</t>
  </si>
  <si>
    <t>AA16</t>
  </si>
  <si>
    <t>Michel</t>
  </si>
  <si>
    <t>Davolio</t>
  </si>
  <si>
    <t>Fuller</t>
  </si>
  <si>
    <t>Leverling</t>
  </si>
  <si>
    <t>Peacock</t>
  </si>
  <si>
    <t>Buchaman</t>
  </si>
  <si>
    <t>Suyama</t>
  </si>
  <si>
    <t>USO DAS REDES SOCIAIS NAS ORGANIZAÇÕES</t>
  </si>
  <si>
    <t>REDES SOCIAIS</t>
  </si>
  <si>
    <t>%</t>
  </si>
  <si>
    <t>Facebook</t>
  </si>
  <si>
    <t>Twitter</t>
  </si>
  <si>
    <t>Instagram</t>
  </si>
  <si>
    <t>Linkedin</t>
  </si>
  <si>
    <t>Youtube</t>
  </si>
  <si>
    <t>Google+</t>
  </si>
  <si>
    <t>Messenger</t>
  </si>
  <si>
    <t>Pinterest</t>
  </si>
  <si>
    <t>WhatsApp</t>
  </si>
  <si>
    <t>Snapchat</t>
  </si>
  <si>
    <t>POPULAÇÃO POR REGIÕES DO BRASIL</t>
  </si>
  <si>
    <t>REGIÃO</t>
  </si>
  <si>
    <t>POPULAÇÃO</t>
  </si>
  <si>
    <t>PERCENTUAL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</si>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</sst>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  <xf numFmtId="0" fontId="0" fillId="5" borderId="2" xfId="0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0" borderId="0" xfId="2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44" fontId="0" fillId="0" borderId="10" xfId="2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44" fontId="0" fillId="5" borderId="15" xfId="2" applyFont="1" applyFill="1" applyBorder="1" applyAlignment="1">
      <alignment horizontal="center" vertical="center"/>
    </xf>
    <xf numFmtId="0" fontId="0" fillId="0" borderId="14" xfId="0" applyBorder="1"/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1" fontId="0" fillId="0" borderId="2" xfId="0" applyNumberFormat="1" applyBorder="1"/>
    <xf numFmtId="10" fontId="0" fillId="0" borderId="2" xfId="3" applyNumberFormat="1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USO DAS REDES SOCIAIS NAS ORGANIZAÇÕES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746884288470562E-2"/>
          <c:y val="0.14059664389950369"/>
          <c:w val="0.77754671394552499"/>
          <c:h val="0.73633792588588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'36-Grafico 1'!$A$4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1'!$B$4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8-4849-955C-75271A6C3985}"/>
            </c:ext>
          </c:extLst>
        </c:ser>
        <c:ser>
          <c:idx val="1"/>
          <c:order val="1"/>
          <c:tx>
            <c:strRef>
              <c:f>'36-Grafico 1'!$A$5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1'!$B$5</c:f>
              <c:numCache>
                <c:formatCode>0%</c:formatCode>
                <c:ptCount val="1"/>
                <c:pt idx="0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8-4849-955C-75271A6C3985}"/>
            </c:ext>
          </c:extLst>
        </c:ser>
        <c:ser>
          <c:idx val="2"/>
          <c:order val="2"/>
          <c:tx>
            <c:strRef>
              <c:f>'36-Grafico 1'!$A$6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1'!$B$6</c:f>
              <c:numCache>
                <c:formatCode>0%</c:formatCode>
                <c:ptCount val="1"/>
                <c:pt idx="0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8-4849-955C-75271A6C3985}"/>
            </c:ext>
          </c:extLst>
        </c:ser>
        <c:ser>
          <c:idx val="3"/>
          <c:order val="3"/>
          <c:tx>
            <c:strRef>
              <c:f>'36-Grafico 1'!$A$7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1'!$B$7</c:f>
              <c:numCache>
                <c:formatCode>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8-4849-955C-75271A6C3985}"/>
            </c:ext>
          </c:extLst>
        </c:ser>
        <c:ser>
          <c:idx val="4"/>
          <c:order val="4"/>
          <c:tx>
            <c:strRef>
              <c:f>'36-Grafico 1'!$A$8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1'!$B$8</c:f>
              <c:numCache>
                <c:formatCode>0%</c:formatCode>
                <c:ptCount val="1"/>
                <c:pt idx="0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8-4849-955C-75271A6C3985}"/>
            </c:ext>
          </c:extLst>
        </c:ser>
        <c:ser>
          <c:idx val="5"/>
          <c:order val="5"/>
          <c:tx>
            <c:strRef>
              <c:f>'36-Grafico 1'!$A$9</c:f>
              <c:strCache>
                <c:ptCount val="1"/>
                <c:pt idx="0">
                  <c:v>Google+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1'!$B$9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8-4849-955C-75271A6C3985}"/>
            </c:ext>
          </c:extLst>
        </c:ser>
        <c:ser>
          <c:idx val="6"/>
          <c:order val="6"/>
          <c:tx>
            <c:strRef>
              <c:f>'36-Grafico 1'!$A$10</c:f>
              <c:strCache>
                <c:ptCount val="1"/>
                <c:pt idx="0">
                  <c:v>Messenger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1'!$B$10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8-4849-955C-75271A6C3985}"/>
            </c:ext>
          </c:extLst>
        </c:ser>
        <c:ser>
          <c:idx val="7"/>
          <c:order val="7"/>
          <c:tx>
            <c:strRef>
              <c:f>'36-Grafico 1'!$A$11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1'!$B$11</c:f>
              <c:numCache>
                <c:formatCode>0%</c:formatCode>
                <c:ptCount val="1"/>
                <c:pt idx="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8-4849-955C-75271A6C3985}"/>
            </c:ext>
          </c:extLst>
        </c:ser>
        <c:ser>
          <c:idx val="8"/>
          <c:order val="8"/>
          <c:tx>
            <c:strRef>
              <c:f>'36-Grafico 1'!$A$12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1'!$B$12</c:f>
              <c:numCache>
                <c:formatCode>0%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8-4849-955C-75271A6C3985}"/>
            </c:ext>
          </c:extLst>
        </c:ser>
        <c:ser>
          <c:idx val="9"/>
          <c:order val="9"/>
          <c:tx>
            <c:strRef>
              <c:f>'36-Grafico 1'!$A$13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1'!$B$13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28-4849-955C-75271A6C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981872"/>
        <c:axId val="638717472"/>
      </c:barChart>
      <c:catAx>
        <c:axId val="55798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717472"/>
        <c:crosses val="autoZero"/>
        <c:auto val="1"/>
        <c:lblAlgn val="ctr"/>
        <c:lblOffset val="100"/>
        <c:noMultiLvlLbl val="0"/>
      </c:catAx>
      <c:valAx>
        <c:axId val="6387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798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940400827380024"/>
          <c:y val="8.4975657013183756E-2"/>
          <c:w val="0.14768204967756515"/>
          <c:h val="0.87054298911934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PERCENTUAL</a:t>
            </a:r>
            <a:r>
              <a:rPr lang="pt-BR" baseline="0"/>
              <a:t> </a:t>
            </a:r>
            <a:r>
              <a:rPr lang="pt-BR"/>
              <a:t>POPULAÇÃO POR REGIÕES DO BRASIL</a:t>
            </a:r>
          </a:p>
        </c:rich>
      </c:tx>
      <c:layout>
        <c:manualLayout>
          <c:xMode val="edge"/>
          <c:yMode val="edge"/>
          <c:x val="0.148201224846894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672790901137361E-2"/>
          <c:y val="0.1830074365704287"/>
          <c:w val="0.47265463692038484"/>
          <c:h val="0.787757728200641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'37-Grafico 2'!$A$4:$A$8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'37-Grafico 2'!$C$4:$C$8</c:f>
              <c:numCache>
                <c:formatCode>0.00%</c:formatCode>
                <c:ptCount val="5"/>
                <c:pt idx="0">
                  <c:v>8.4099999999999994E-2</c:v>
                </c:pt>
                <c:pt idx="1">
                  <c:v>0.27789999999999998</c:v>
                </c:pt>
                <c:pt idx="2">
                  <c:v>0.42059999999999997</c:v>
                </c:pt>
                <c:pt idx="3">
                  <c:v>0.14299999999999999</c:v>
                </c:pt>
                <c:pt idx="4">
                  <c:v>7.4399999999999994E-2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6-450A-8719-FD8B9B1840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997244094488181"/>
          <c:y val="0.16261519393409155"/>
          <c:w val="0.22338823272090988"/>
          <c:h val="0.78645888013998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POPULAÇÃO POR REGIÕES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'37-Grafico 2'!$A$4:$A$8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'37-Grafico 2'!$B$4:$B$8</c:f>
              <c:numCache>
                <c:formatCode>General</c:formatCode>
                <c:ptCount val="5"/>
                <c:pt idx="0" formatCode="0">
                  <c:v>16318163</c:v>
                </c:pt>
                <c:pt idx="1">
                  <c:v>53907144</c:v>
                </c:pt>
                <c:pt idx="2">
                  <c:v>81565983</c:v>
                </c:pt>
                <c:pt idx="3">
                  <c:v>27731664</c:v>
                </c:pt>
                <c:pt idx="4">
                  <c:v>14423952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7-4F91-8AFA-BA7D7BF048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0363248"/>
        <c:axId val="719788784"/>
      </c:lineChart>
      <c:catAx>
        <c:axId val="7203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9788784"/>
        <c:crosses val="autoZero"/>
        <c:auto val="1"/>
        <c:lblAlgn val="ctr"/>
        <c:lblOffset val="100"/>
        <c:noMultiLvlLbl val="0"/>
      </c:catAx>
      <c:valAx>
        <c:axId val="71978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036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4763</xdr:rowOff>
    </xdr:from>
    <xdr:to>
      <xdr:col>8</xdr:col>
      <xdr:colOff>85725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65D498-0C0E-432F-9C02-A75491C9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0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636C15-31D5-4CB6-B09E-2295C7674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0</xdr:row>
      <xdr:rowOff>0</xdr:rowOff>
    </xdr:from>
    <xdr:to>
      <xdr:col>7</xdr:col>
      <xdr:colOff>0</xdr:colOff>
      <xdr:row>12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FE2AF9-73EC-445D-AF3A-279BB721C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01" t="s">
        <v>0</v>
      </c>
      <c r="B1" s="101"/>
      <c r="C1" s="101"/>
      <c r="D1" s="101"/>
    </row>
    <row r="2" spans="1:4" x14ac:dyDescent="0.25">
      <c r="A2" s="102" t="s">
        <v>1</v>
      </c>
      <c r="B2" s="103" t="s">
        <v>2</v>
      </c>
      <c r="C2" s="2">
        <v>23</v>
      </c>
      <c r="D2" s="1">
        <f>C2</f>
        <v>23</v>
      </c>
    </row>
    <row r="3" spans="1:4" x14ac:dyDescent="0.25">
      <c r="A3" s="102"/>
      <c r="B3" s="103"/>
      <c r="C3" s="3">
        <v>0.1</v>
      </c>
      <c r="D3" s="10">
        <f t="shared" ref="D3:D6" si="0">C3</f>
        <v>0.1</v>
      </c>
    </row>
    <row r="4" spans="1:4" x14ac:dyDescent="0.25">
      <c r="A4" s="102"/>
      <c r="B4" s="103"/>
      <c r="C4">
        <v>2.58</v>
      </c>
      <c r="D4" s="9">
        <f t="shared" si="0"/>
        <v>2.58</v>
      </c>
    </row>
    <row r="5" spans="1:4" x14ac:dyDescent="0.25">
      <c r="A5" s="102"/>
      <c r="B5" s="103"/>
      <c r="C5" s="4">
        <v>1000</v>
      </c>
      <c r="D5" s="11">
        <f t="shared" si="0"/>
        <v>1000</v>
      </c>
    </row>
    <row r="6" spans="1:4" x14ac:dyDescent="0.25">
      <c r="A6" s="102"/>
      <c r="B6" s="103"/>
      <c r="C6" s="5">
        <v>42567</v>
      </c>
      <c r="D6" s="8">
        <f t="shared" si="0"/>
        <v>42567</v>
      </c>
    </row>
    <row r="7" spans="1:4" ht="30" x14ac:dyDescent="0.25">
      <c r="A7" s="102"/>
      <c r="B7" s="103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04" t="s">
        <v>41</v>
      </c>
      <c r="B1" s="104"/>
      <c r="C1" s="104"/>
      <c r="D1" s="104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105" t="s">
        <v>46</v>
      </c>
      <c r="B1" s="105"/>
      <c r="C1" s="105"/>
      <c r="D1" s="105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106" t="s">
        <v>78</v>
      </c>
      <c r="B1" s="106"/>
      <c r="C1" s="106"/>
      <c r="D1" s="106"/>
      <c r="E1" s="106"/>
      <c r="F1" s="106"/>
      <c r="G1" s="106"/>
      <c r="H1" s="106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7" t="s">
        <v>95</v>
      </c>
      <c r="B1" s="107"/>
      <c r="C1" s="107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07" t="s">
        <v>99</v>
      </c>
      <c r="B1" s="107"/>
      <c r="C1" s="107"/>
      <c r="D1" s="107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08" t="s">
        <v>99</v>
      </c>
      <c r="B1" s="109"/>
      <c r="C1" s="110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107" t="s">
        <v>104</v>
      </c>
      <c r="B1" s="107"/>
      <c r="C1" s="107"/>
      <c r="D1" s="107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8" t="s">
        <v>104</v>
      </c>
      <c r="B1" s="109"/>
      <c r="C1" s="110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7" t="s">
        <v>112</v>
      </c>
      <c r="B1" s="107"/>
      <c r="C1" s="10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07" t="s">
        <v>112</v>
      </c>
      <c r="B1" s="107"/>
      <c r="C1" s="107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11" t="s">
        <v>113</v>
      </c>
      <c r="B1" s="111"/>
      <c r="C1" s="111"/>
      <c r="D1" s="111"/>
      <c r="E1" s="111"/>
      <c r="F1" s="111"/>
      <c r="G1" s="111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11" t="s">
        <v>120</v>
      </c>
      <c r="B1" s="112"/>
      <c r="C1" s="112"/>
      <c r="D1" s="112"/>
      <c r="E1" s="112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13" t="s">
        <v>146</v>
      </c>
      <c r="D13" s="114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13" t="s">
        <v>148</v>
      </c>
      <c r="B1" s="115"/>
      <c r="C1" s="114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16" t="s">
        <v>159</v>
      </c>
      <c r="B1" s="117"/>
      <c r="C1" s="117"/>
      <c r="D1" s="118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16" t="s">
        <v>171</v>
      </c>
      <c r="B1" s="117"/>
      <c r="C1" s="117"/>
      <c r="D1" s="117"/>
      <c r="E1" s="117"/>
      <c r="F1" s="118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12" t="s">
        <v>177</v>
      </c>
      <c r="E15" s="112"/>
      <c r="F15" s="26">
        <f>SUM(F3:F14)</f>
        <v>8669.24</v>
      </c>
    </row>
    <row r="16" spans="1:6" x14ac:dyDescent="0.25">
      <c r="D16" s="112" t="s">
        <v>178</v>
      </c>
      <c r="E16" s="112"/>
      <c r="F16" s="26">
        <f>AVERAGE(F3:F14)</f>
        <v>722.43666666666661</v>
      </c>
    </row>
    <row r="17" spans="4:6" x14ac:dyDescent="0.25">
      <c r="D17" s="112" t="s">
        <v>179</v>
      </c>
      <c r="E17" s="112"/>
      <c r="F17" s="26">
        <f>MAX(F3:F14)</f>
        <v>1670.3999999999999</v>
      </c>
    </row>
    <row r="18" spans="4:6" x14ac:dyDescent="0.25">
      <c r="D18" s="112" t="s">
        <v>180</v>
      </c>
      <c r="E18" s="112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19" t="s">
        <v>198</v>
      </c>
      <c r="B1" s="119"/>
      <c r="C1" s="119"/>
      <c r="D1" s="119"/>
      <c r="E1" s="119"/>
      <c r="F1" s="119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19" t="s">
        <v>206</v>
      </c>
      <c r="B1" s="119"/>
      <c r="C1" s="119"/>
      <c r="D1" s="119"/>
    </row>
    <row r="2" spans="1:4" x14ac:dyDescent="0.25">
      <c r="A2" s="51" t="s">
        <v>208</v>
      </c>
      <c r="B2" s="120" t="s">
        <v>210</v>
      </c>
      <c r="C2" s="121"/>
      <c r="D2" s="122"/>
    </row>
    <row r="3" spans="1:4" x14ac:dyDescent="0.25">
      <c r="A3" s="51" t="s">
        <v>43</v>
      </c>
      <c r="B3" s="123">
        <v>5144230</v>
      </c>
      <c r="C3" s="124"/>
      <c r="D3" s="125"/>
    </row>
    <row r="4" spans="1:4" x14ac:dyDescent="0.25">
      <c r="A4" s="51" t="s">
        <v>207</v>
      </c>
      <c r="B4" s="120" t="s">
        <v>211</v>
      </c>
      <c r="C4" s="121"/>
      <c r="D4" s="122"/>
    </row>
    <row r="5" spans="1:4" x14ac:dyDescent="0.25">
      <c r="A5" s="51" t="s">
        <v>154</v>
      </c>
      <c r="B5" s="126">
        <v>33337878</v>
      </c>
      <c r="C5" s="127"/>
      <c r="D5" s="128"/>
    </row>
    <row r="7" spans="1:4" x14ac:dyDescent="0.25">
      <c r="A7" s="119" t="s">
        <v>205</v>
      </c>
      <c r="B7" s="119"/>
      <c r="C7" s="119"/>
      <c r="D7" s="119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13" t="s">
        <v>209</v>
      </c>
      <c r="C15" s="114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13" t="s">
        <v>200</v>
      </c>
      <c r="C18" s="114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29" t="s">
        <v>217</v>
      </c>
      <c r="B1" s="130"/>
      <c r="C1" s="130"/>
      <c r="D1" s="130"/>
      <c r="E1" s="130"/>
      <c r="F1" s="130"/>
      <c r="G1" s="130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11" t="s">
        <v>234</v>
      </c>
      <c r="B1" s="112"/>
      <c r="D1" s="116" t="s">
        <v>237</v>
      </c>
      <c r="E1" s="118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11" t="s">
        <v>242</v>
      </c>
      <c r="B1" s="111"/>
      <c r="C1" s="111"/>
      <c r="D1" s="111"/>
      <c r="E1" s="111"/>
      <c r="G1" s="111" t="s">
        <v>237</v>
      </c>
      <c r="H1" s="112"/>
      <c r="I1" s="112"/>
      <c r="J1" s="112"/>
      <c r="K1" s="112"/>
      <c r="L1" s="112"/>
      <c r="M1" s="112"/>
      <c r="N1" s="112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31" t="s">
        <v>246</v>
      </c>
      <c r="H2" s="131"/>
      <c r="I2" s="7"/>
      <c r="J2" s="112" t="s">
        <v>247</v>
      </c>
      <c r="K2" s="112"/>
      <c r="L2" s="7"/>
      <c r="M2" s="112" t="s">
        <v>248</v>
      </c>
      <c r="N2" s="112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32" t="s">
        <v>257</v>
      </c>
      <c r="B1" s="133"/>
      <c r="C1" s="133"/>
      <c r="D1" s="133"/>
      <c r="E1" s="134"/>
      <c r="G1" s="119" t="s">
        <v>263</v>
      </c>
      <c r="H1" s="119"/>
      <c r="I1" s="119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11" t="s">
        <v>273</v>
      </c>
      <c r="B1" s="111"/>
      <c r="C1" s="111"/>
      <c r="D1" s="111"/>
      <c r="F1" s="111" t="s">
        <v>274</v>
      </c>
      <c r="G1" s="111"/>
      <c r="H1" s="111"/>
      <c r="I1" s="111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12" t="s">
        <v>293</v>
      </c>
      <c r="G9" s="112"/>
      <c r="H9" s="112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12" t="s">
        <v>294</v>
      </c>
      <c r="G10" s="112"/>
      <c r="H10" s="112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11" t="s">
        <v>303</v>
      </c>
      <c r="B1" s="111"/>
      <c r="C1" s="111"/>
      <c r="D1" s="111"/>
      <c r="E1" s="111"/>
    </row>
    <row r="2" spans="1:5" x14ac:dyDescent="0.25">
      <c r="A2" s="60" t="s">
        <v>278</v>
      </c>
      <c r="B2" s="60" t="s">
        <v>100</v>
      </c>
      <c r="C2" s="7"/>
      <c r="D2" s="113" t="s">
        <v>296</v>
      </c>
      <c r="E2" s="114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13" t="s">
        <v>302</v>
      </c>
      <c r="E10" s="114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19" t="s">
        <v>305</v>
      </c>
      <c r="B1" s="135"/>
      <c r="C1" s="135"/>
      <c r="D1" s="135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111" t="s">
        <v>316</v>
      </c>
      <c r="B1" s="111"/>
      <c r="C1" s="111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16" t="s">
        <v>325</v>
      </c>
      <c r="B1" s="117"/>
      <c r="C1" s="118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19" t="s">
        <v>342</v>
      </c>
      <c r="B1" s="119"/>
      <c r="C1" s="119"/>
      <c r="D1" s="119"/>
      <c r="F1" s="111" t="s">
        <v>347</v>
      </c>
      <c r="G1" s="111"/>
      <c r="H1" s="111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6" sqref="B16:C16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19" t="s">
        <v>414</v>
      </c>
      <c r="B1" s="119"/>
      <c r="C1" s="119"/>
      <c r="D1" s="119"/>
      <c r="E1" s="119"/>
      <c r="F1" s="119"/>
      <c r="G1" s="119"/>
      <c r="H1" s="119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36" t="s">
        <v>408</v>
      </c>
      <c r="B15" s="136"/>
      <c r="C15" s="136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37" t="s">
        <v>400</v>
      </c>
      <c r="C16" s="137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38">
        <f>VLOOKUP($B$16,$A$3:$H$13,2,FALSE)</f>
        <v>32240</v>
      </c>
      <c r="C17" s="138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38" t="str">
        <f>VLOOKUP($B$16,$A$3:$H$13,3,FALSE)</f>
        <v>M</v>
      </c>
      <c r="C18" s="138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38" t="str">
        <f>VLOOKUP($B$16,$A$3:$H$13,4,FALSE)</f>
        <v>Av. João Bosco, 415</v>
      </c>
      <c r="C19" s="138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38" t="str">
        <f>VLOOKUP($B$16,$A$3:$H$13,5,FALSE)</f>
        <v>Leme</v>
      </c>
      <c r="C20" s="138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38" t="str">
        <f>VLOOKUP($B$16,$A$3:$H$13,6,FALSE)</f>
        <v>Carapícuiba</v>
      </c>
      <c r="C21" s="138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38" t="str">
        <f>VLOOKUP($B$16,$A$3:$H$13,7,FALSE)</f>
        <v>SP</v>
      </c>
      <c r="C22" s="138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39">
        <f>VLOOKUP($B$16,$A$3:$H$13,8,FALSE)</f>
        <v>8484012</v>
      </c>
      <c r="C23" s="139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B19:C19"/>
    <mergeCell ref="B20:C20"/>
    <mergeCell ref="B21:C21"/>
    <mergeCell ref="B22:C22"/>
    <mergeCell ref="B23:C23"/>
    <mergeCell ref="A1:H1"/>
    <mergeCell ref="A15:C15"/>
    <mergeCell ref="B16:C16"/>
    <mergeCell ref="B17:C17"/>
    <mergeCell ref="B18:C18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11" t="s">
        <v>418</v>
      </c>
      <c r="B1" s="111"/>
      <c r="C1" s="111"/>
      <c r="D1" s="111"/>
      <c r="E1" s="111"/>
      <c r="F1" s="111"/>
      <c r="H1" s="136" t="s">
        <v>415</v>
      </c>
      <c r="I1" s="136"/>
      <c r="J1" s="136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workbookViewId="0">
      <selection activeCell="F37" sqref="F37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11" t="s">
        <v>435</v>
      </c>
      <c r="B1" s="112"/>
      <c r="C1" s="112"/>
      <c r="D1" s="112"/>
      <c r="F1" s="140" t="s">
        <v>445</v>
      </c>
      <c r="G1" s="140"/>
      <c r="H1" s="140"/>
    </row>
    <row r="2" spans="1:8" x14ac:dyDescent="0.25">
      <c r="A2" s="90" t="s">
        <v>275</v>
      </c>
      <c r="B2" s="90" t="s">
        <v>100</v>
      </c>
      <c r="C2" s="90" t="s">
        <v>436</v>
      </c>
      <c r="D2" s="9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93"/>
      <c r="G8" s="9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C464-85C4-4B73-8411-4D2E837C7530}">
  <dimension ref="A1:I6"/>
  <sheetViews>
    <sheetView workbookViewId="0">
      <selection activeCell="I2" sqref="I2"/>
    </sheetView>
  </sheetViews>
  <sheetFormatPr defaultColWidth="18.28515625" defaultRowHeight="15" x14ac:dyDescent="0.25"/>
  <cols>
    <col min="6" max="6" width="19.85546875" bestFit="1" customWidth="1"/>
    <col min="7" max="7" width="3.42578125" customWidth="1"/>
    <col min="9" max="9" width="22.85546875" customWidth="1"/>
  </cols>
  <sheetData>
    <row r="1" spans="1:9" x14ac:dyDescent="0.25">
      <c r="A1" s="111" t="s">
        <v>447</v>
      </c>
      <c r="B1" s="111"/>
      <c r="C1" s="111"/>
      <c r="D1" s="111"/>
      <c r="E1" s="111"/>
      <c r="F1" s="111"/>
      <c r="H1" s="116" t="s">
        <v>446</v>
      </c>
      <c r="I1" s="114"/>
    </row>
    <row r="2" spans="1:9" x14ac:dyDescent="0.25">
      <c r="A2" s="95" t="s">
        <v>121</v>
      </c>
      <c r="B2" s="94">
        <v>1</v>
      </c>
      <c r="C2" s="94">
        <v>2</v>
      </c>
      <c r="D2" s="94">
        <v>3</v>
      </c>
      <c r="E2" s="94">
        <v>4</v>
      </c>
      <c r="F2" s="94">
        <v>5</v>
      </c>
      <c r="H2" s="95" t="s">
        <v>121</v>
      </c>
      <c r="I2" s="94">
        <v>1</v>
      </c>
    </row>
    <row r="3" spans="1:9" x14ac:dyDescent="0.25">
      <c r="A3" s="95" t="s">
        <v>47</v>
      </c>
      <c r="B3" s="45" t="s">
        <v>67</v>
      </c>
      <c r="C3" s="45" t="s">
        <v>68</v>
      </c>
      <c r="D3" s="45" t="s">
        <v>69</v>
      </c>
      <c r="E3" s="45" t="s">
        <v>70</v>
      </c>
      <c r="F3" s="45" t="s">
        <v>71</v>
      </c>
      <c r="H3" s="95" t="s">
        <v>47</v>
      </c>
      <c r="I3" s="94" t="str">
        <f>HLOOKUP($I$2,$B$2:$F$6,2,0)</f>
        <v>Joana Ferreira</v>
      </c>
    </row>
    <row r="4" spans="1:9" x14ac:dyDescent="0.25">
      <c r="A4" s="95" t="s">
        <v>48</v>
      </c>
      <c r="B4" s="45" t="s">
        <v>56</v>
      </c>
      <c r="C4" s="45" t="s">
        <v>61</v>
      </c>
      <c r="D4" s="45" t="s">
        <v>448</v>
      </c>
      <c r="E4" s="45" t="s">
        <v>449</v>
      </c>
      <c r="F4" s="45" t="s">
        <v>60</v>
      </c>
      <c r="H4" s="95" t="s">
        <v>48</v>
      </c>
      <c r="I4" s="94" t="str">
        <f>HLOOKUP($I$2,$B$2:$F$6,3,0)</f>
        <v>Secretária</v>
      </c>
    </row>
    <row r="5" spans="1:9" x14ac:dyDescent="0.25">
      <c r="A5" s="95" t="s">
        <v>49</v>
      </c>
      <c r="B5" s="45" t="s">
        <v>51</v>
      </c>
      <c r="C5" s="45" t="s">
        <v>51</v>
      </c>
      <c r="D5" s="45" t="s">
        <v>52</v>
      </c>
      <c r="E5" s="45" t="s">
        <v>53</v>
      </c>
      <c r="F5" s="45" t="s">
        <v>52</v>
      </c>
      <c r="H5" s="95" t="s">
        <v>49</v>
      </c>
      <c r="I5" s="94" t="str">
        <f>HLOOKUP($I$2,$B$2:$F$6,4,0)</f>
        <v>Administração</v>
      </c>
    </row>
    <row r="6" spans="1:9" x14ac:dyDescent="0.25">
      <c r="A6" s="95" t="s">
        <v>50</v>
      </c>
      <c r="B6" s="41">
        <v>2800</v>
      </c>
      <c r="C6" s="41">
        <v>3290</v>
      </c>
      <c r="D6" s="41">
        <v>4500</v>
      </c>
      <c r="E6" s="41">
        <v>850</v>
      </c>
      <c r="F6" s="41">
        <v>2100</v>
      </c>
      <c r="H6" s="95" t="s">
        <v>50</v>
      </c>
      <c r="I6" s="64">
        <f>HLOOKUP($I$2,$B$2:$F$6,5,0)</f>
        <v>2800</v>
      </c>
    </row>
  </sheetData>
  <mergeCells count="2">
    <mergeCell ref="A1:F1"/>
    <mergeCell ref="H1:I1"/>
  </mergeCells>
  <dataValidations count="1">
    <dataValidation type="list" allowBlank="1" showInputMessage="1" showErrorMessage="1" sqref="I2" xr:uid="{0FF22856-4504-4267-9D27-FF5B1F317611}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71F5-6E03-4E60-87F5-1F947934134B}">
  <dimension ref="A1:K15"/>
  <sheetViews>
    <sheetView workbookViewId="0">
      <selection activeCell="C10" sqref="C10"/>
    </sheetView>
  </sheetViews>
  <sheetFormatPr defaultColWidth="18.28515625" defaultRowHeight="15" x14ac:dyDescent="0.25"/>
  <cols>
    <col min="6" max="6" width="19.85546875" bestFit="1" customWidth="1"/>
    <col min="8" max="8" width="3.42578125" customWidth="1"/>
  </cols>
  <sheetData>
    <row r="1" spans="1:11" x14ac:dyDescent="0.25">
      <c r="A1" s="111" t="s">
        <v>447</v>
      </c>
      <c r="B1" s="111"/>
      <c r="C1" s="111"/>
      <c r="D1" s="111"/>
      <c r="E1" s="111"/>
      <c r="F1" s="111"/>
      <c r="G1" s="111"/>
      <c r="I1" s="96" t="s">
        <v>446</v>
      </c>
      <c r="J1" s="97"/>
    </row>
    <row r="2" spans="1:11" ht="30" x14ac:dyDescent="0.25">
      <c r="A2" s="152" t="s">
        <v>343</v>
      </c>
      <c r="B2" s="153" t="s">
        <v>450</v>
      </c>
      <c r="C2" s="153" t="s">
        <v>451</v>
      </c>
      <c r="D2" s="153" t="s">
        <v>452</v>
      </c>
      <c r="E2" s="153" t="s">
        <v>453</v>
      </c>
      <c r="F2" s="153" t="s">
        <v>454</v>
      </c>
      <c r="G2" s="153" t="s">
        <v>461</v>
      </c>
      <c r="I2" s="95" t="s">
        <v>121</v>
      </c>
      <c r="J2" s="94" t="s">
        <v>461</v>
      </c>
    </row>
    <row r="3" spans="1:11" x14ac:dyDescent="0.25">
      <c r="A3" s="100" t="s">
        <v>47</v>
      </c>
      <c r="B3" s="40" t="s">
        <v>457</v>
      </c>
      <c r="C3" s="40" t="s">
        <v>321</v>
      </c>
      <c r="D3" s="40" t="s">
        <v>458</v>
      </c>
      <c r="E3" s="40" t="s">
        <v>459</v>
      </c>
      <c r="F3" s="40" t="s">
        <v>460</v>
      </c>
      <c r="G3" s="144" t="s">
        <v>462</v>
      </c>
      <c r="I3" s="95" t="s">
        <v>47</v>
      </c>
      <c r="J3" s="94" t="str">
        <f>HLOOKUP($J$2,$B$2:$G$5,2,0)</f>
        <v>Michel</v>
      </c>
    </row>
    <row r="4" spans="1:11" x14ac:dyDescent="0.25">
      <c r="A4" s="100" t="s">
        <v>455</v>
      </c>
      <c r="B4" s="40" t="s">
        <v>463</v>
      </c>
      <c r="C4" s="40" t="s">
        <v>464</v>
      </c>
      <c r="D4" s="40" t="s">
        <v>465</v>
      </c>
      <c r="E4" s="40" t="s">
        <v>466</v>
      </c>
      <c r="F4" s="40" t="s">
        <v>467</v>
      </c>
      <c r="G4" s="150" t="s">
        <v>468</v>
      </c>
      <c r="I4" s="95" t="s">
        <v>48</v>
      </c>
      <c r="J4" s="94" t="str">
        <f>HLOOKUP($J$2,$B$2:$G$5,3,0)</f>
        <v>Suyama</v>
      </c>
    </row>
    <row r="5" spans="1:11" x14ac:dyDescent="0.25">
      <c r="A5" s="100" t="s">
        <v>456</v>
      </c>
      <c r="B5" s="151">
        <v>41001010</v>
      </c>
      <c r="C5" s="151">
        <v>41001011</v>
      </c>
      <c r="D5" s="151">
        <v>41001012</v>
      </c>
      <c r="E5" s="151">
        <v>41001013</v>
      </c>
      <c r="F5" s="151">
        <v>41001014</v>
      </c>
      <c r="G5" s="151">
        <v>41001015</v>
      </c>
      <c r="I5" s="95" t="s">
        <v>49</v>
      </c>
      <c r="J5" s="94">
        <f>HLOOKUP($J$2,$B$2:$G$5,4,0)</f>
        <v>41001015</v>
      </c>
    </row>
    <row r="6" spans="1:11" x14ac:dyDescent="0.25">
      <c r="A6" s="142"/>
      <c r="B6" s="143"/>
      <c r="C6" s="141"/>
      <c r="D6" s="141"/>
      <c r="E6" s="141"/>
      <c r="F6" s="141"/>
      <c r="I6" s="147"/>
      <c r="J6" s="148"/>
      <c r="K6" s="149"/>
    </row>
    <row r="7" spans="1:11" x14ac:dyDescent="0.25">
      <c r="I7" s="146"/>
    </row>
    <row r="8" spans="1:11" x14ac:dyDescent="0.25">
      <c r="K8" s="145"/>
    </row>
    <row r="15" spans="1:11" x14ac:dyDescent="0.25">
      <c r="F15" s="145"/>
    </row>
  </sheetData>
  <mergeCells count="1">
    <mergeCell ref="A1:G1"/>
  </mergeCells>
  <dataValidations count="1">
    <dataValidation type="list" allowBlank="1" showInputMessage="1" showErrorMessage="1" sqref="J2" xr:uid="{20290D85-BAC6-4279-9F62-636EF403079A}">
      <formula1>$B$2:$G$2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995-7E82-4DEE-9822-94466BC91098}">
  <dimension ref="A1:B16"/>
  <sheetViews>
    <sheetView workbookViewId="0">
      <selection activeCell="H20" sqref="H20"/>
    </sheetView>
  </sheetViews>
  <sheetFormatPr defaultColWidth="18.28515625" defaultRowHeight="15" x14ac:dyDescent="0.25"/>
  <cols>
    <col min="1" max="2" width="22.85546875" customWidth="1"/>
  </cols>
  <sheetData>
    <row r="1" spans="1:2" ht="30" customHeight="1" x14ac:dyDescent="0.25">
      <c r="A1" s="111" t="s">
        <v>469</v>
      </c>
      <c r="B1" s="111"/>
    </row>
    <row r="3" spans="1:2" x14ac:dyDescent="0.25">
      <c r="A3" s="98" t="s">
        <v>470</v>
      </c>
      <c r="B3" s="99" t="s">
        <v>471</v>
      </c>
    </row>
    <row r="4" spans="1:2" x14ac:dyDescent="0.25">
      <c r="A4" s="45" t="s">
        <v>472</v>
      </c>
      <c r="B4" s="53">
        <v>0.95</v>
      </c>
    </row>
    <row r="5" spans="1:2" x14ac:dyDescent="0.25">
      <c r="A5" s="45" t="s">
        <v>473</v>
      </c>
      <c r="B5" s="53">
        <v>0.84</v>
      </c>
    </row>
    <row r="6" spans="1:2" x14ac:dyDescent="0.25">
      <c r="A6" s="45" t="s">
        <v>474</v>
      </c>
      <c r="B6" s="53">
        <v>0.74</v>
      </c>
    </row>
    <row r="7" spans="1:2" x14ac:dyDescent="0.25">
      <c r="A7" s="45" t="s">
        <v>475</v>
      </c>
      <c r="B7" s="53">
        <v>0.62</v>
      </c>
    </row>
    <row r="8" spans="1:2" x14ac:dyDescent="0.25">
      <c r="A8" s="45" t="s">
        <v>476</v>
      </c>
      <c r="B8" s="53">
        <v>0.61</v>
      </c>
    </row>
    <row r="9" spans="1:2" x14ac:dyDescent="0.25">
      <c r="A9" s="45" t="s">
        <v>477</v>
      </c>
      <c r="B9" s="53">
        <v>0.32</v>
      </c>
    </row>
    <row r="10" spans="1:2" x14ac:dyDescent="0.25">
      <c r="A10" s="45" t="s">
        <v>478</v>
      </c>
      <c r="B10" s="53">
        <v>0.31</v>
      </c>
    </row>
    <row r="11" spans="1:2" x14ac:dyDescent="0.25">
      <c r="A11" s="45" t="s">
        <v>479</v>
      </c>
      <c r="B11" s="53">
        <v>0.24</v>
      </c>
    </row>
    <row r="12" spans="1:2" x14ac:dyDescent="0.25">
      <c r="A12" s="45" t="s">
        <v>480</v>
      </c>
      <c r="B12" s="53">
        <v>0.19</v>
      </c>
    </row>
    <row r="13" spans="1:2" x14ac:dyDescent="0.25">
      <c r="A13" s="45" t="s">
        <v>481</v>
      </c>
      <c r="B13" s="53">
        <v>0.08</v>
      </c>
    </row>
    <row r="16" spans="1:2" ht="15" customHeight="1" x14ac:dyDescent="0.25"/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1CAC-7D65-4732-9843-6244BDE605E1}">
  <dimension ref="A1:C8"/>
  <sheetViews>
    <sheetView tabSelected="1" workbookViewId="0">
      <selection activeCell="F16" sqref="F16"/>
    </sheetView>
  </sheetViews>
  <sheetFormatPr defaultColWidth="18.28515625" defaultRowHeight="15" x14ac:dyDescent="0.25"/>
  <sheetData>
    <row r="1" spans="1:3" x14ac:dyDescent="0.25">
      <c r="A1" s="111" t="s">
        <v>482</v>
      </c>
      <c r="B1" s="111"/>
      <c r="C1" s="111"/>
    </row>
    <row r="3" spans="1:3" x14ac:dyDescent="0.25">
      <c r="A3" s="99" t="s">
        <v>483</v>
      </c>
      <c r="B3" s="99" t="s">
        <v>484</v>
      </c>
      <c r="C3" s="99" t="s">
        <v>485</v>
      </c>
    </row>
    <row r="4" spans="1:3" x14ac:dyDescent="0.25">
      <c r="A4" s="19" t="s">
        <v>486</v>
      </c>
      <c r="B4" s="154">
        <v>16318163</v>
      </c>
      <c r="C4" s="155">
        <v>8.4099999999999994E-2</v>
      </c>
    </row>
    <row r="5" spans="1:3" x14ac:dyDescent="0.25">
      <c r="A5" s="19" t="s">
        <v>487</v>
      </c>
      <c r="B5" s="19">
        <v>53907144</v>
      </c>
      <c r="C5" s="155">
        <v>0.27789999999999998</v>
      </c>
    </row>
    <row r="6" spans="1:3" x14ac:dyDescent="0.25">
      <c r="A6" s="19" t="s">
        <v>488</v>
      </c>
      <c r="B6" s="19">
        <v>81565983</v>
      </c>
      <c r="C6" s="155">
        <v>0.42059999999999997</v>
      </c>
    </row>
    <row r="7" spans="1:3" x14ac:dyDescent="0.25">
      <c r="A7" s="19" t="s">
        <v>489</v>
      </c>
      <c r="B7" s="19">
        <v>27731664</v>
      </c>
      <c r="C7" s="155">
        <v>0.14299999999999999</v>
      </c>
    </row>
    <row r="8" spans="1:3" x14ac:dyDescent="0.25">
      <c r="A8" s="19" t="s">
        <v>490</v>
      </c>
      <c r="B8" s="19">
        <v>14423952</v>
      </c>
      <c r="C8" s="155">
        <v>7.4399999999999994E-2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  <vt:lpstr>34-Proch Exato 1</vt:lpstr>
      <vt:lpstr>35-Proch Exato 2</vt:lpstr>
      <vt:lpstr>36-Grafico 1</vt:lpstr>
      <vt:lpstr>37-Grafico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2026-03-03T00:38:08Z</dcterms:modified>
</cp:coreProperties>
</file>