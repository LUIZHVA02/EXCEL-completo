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8E825FFD-8A46-4459-AD21-1EF111B7C4C0}" xr6:coauthVersionLast="36" xr6:coauthVersionMax="36" xr10:uidLastSave="{00000000-0000-0000-0000-000000000000}"/>
  <bookViews>
    <workbookView xWindow="0" yWindow="0" windowWidth="15360" windowHeight="7425" firstSheet="23" activeTab="28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<sst xmlns="http://schemas.openxmlformats.org/spreadsheetml/2006/main" count="535" uniqueCount="361">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</sst>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71" t="s">
        <v>0</v>
      </c>
      <c r="B1" s="71"/>
      <c r="C1" s="71"/>
      <c r="D1" s="71"/>
    </row>
    <row r="2" spans="1:4" x14ac:dyDescent="0.25">
      <c r="A2" s="72" t="s">
        <v>1</v>
      </c>
      <c r="B2" s="73" t="s">
        <v>2</v>
      </c>
      <c r="C2" s="2">
        <v>23</v>
      </c>
      <c r="D2" s="1">
        <f>C2</f>
        <v>23</v>
      </c>
    </row>
    <row r="3" spans="1:4" x14ac:dyDescent="0.25">
      <c r="A3" s="72"/>
      <c r="B3" s="73"/>
      <c r="C3" s="3">
        <v>0.1</v>
      </c>
      <c r="D3" s="10">
        <f t="shared" ref="D3:D6" si="0">C3</f>
        <v>0.1</v>
      </c>
    </row>
    <row r="4" spans="1:4" x14ac:dyDescent="0.25">
      <c r="A4" s="72"/>
      <c r="B4" s="73"/>
      <c r="C4">
        <v>2.58</v>
      </c>
      <c r="D4" s="9">
        <f t="shared" si="0"/>
        <v>2.58</v>
      </c>
    </row>
    <row r="5" spans="1:4" x14ac:dyDescent="0.25">
      <c r="A5" s="72"/>
      <c r="B5" s="73"/>
      <c r="C5" s="4">
        <v>1000</v>
      </c>
      <c r="D5" s="11">
        <f t="shared" si="0"/>
        <v>1000</v>
      </c>
    </row>
    <row r="6" spans="1:4" x14ac:dyDescent="0.25">
      <c r="A6" s="72"/>
      <c r="B6" s="73"/>
      <c r="C6" s="5">
        <v>42567</v>
      </c>
      <c r="D6" s="8">
        <f t="shared" si="0"/>
        <v>42567</v>
      </c>
    </row>
    <row r="7" spans="1:4" ht="30" x14ac:dyDescent="0.25">
      <c r="A7" s="72"/>
      <c r="B7" s="73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74" t="s">
        <v>41</v>
      </c>
      <c r="B1" s="74"/>
      <c r="C1" s="74"/>
      <c r="D1" s="74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75" t="s">
        <v>46</v>
      </c>
      <c r="B1" s="75"/>
      <c r="C1" s="75"/>
      <c r="D1" s="75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76" t="s">
        <v>78</v>
      </c>
      <c r="B1" s="76"/>
      <c r="C1" s="76"/>
      <c r="D1" s="76"/>
      <c r="E1" s="76"/>
      <c r="F1" s="76"/>
      <c r="G1" s="76"/>
      <c r="H1" s="76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77" t="s">
        <v>95</v>
      </c>
      <c r="B1" s="77"/>
      <c r="C1" s="77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77" t="s">
        <v>99</v>
      </c>
      <c r="B1" s="77"/>
      <c r="C1" s="77"/>
      <c r="D1" s="77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78" t="s">
        <v>99</v>
      </c>
      <c r="B1" s="79"/>
      <c r="C1" s="80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77" t="s">
        <v>104</v>
      </c>
      <c r="B1" s="77"/>
      <c r="C1" s="77"/>
      <c r="D1" s="77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8" t="s">
        <v>104</v>
      </c>
      <c r="B1" s="79"/>
      <c r="C1" s="80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7" t="s">
        <v>112</v>
      </c>
      <c r="B1" s="77"/>
      <c r="C1" s="77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7" t="s">
        <v>112</v>
      </c>
      <c r="B1" s="77"/>
      <c r="C1" s="77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81" t="s">
        <v>113</v>
      </c>
      <c r="B1" s="81"/>
      <c r="C1" s="81"/>
      <c r="D1" s="81"/>
      <c r="E1" s="81"/>
      <c r="F1" s="81"/>
      <c r="G1" s="81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81" t="s">
        <v>120</v>
      </c>
      <c r="B1" s="82"/>
      <c r="C1" s="82"/>
      <c r="D1" s="82"/>
      <c r="E1" s="82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83" t="s">
        <v>146</v>
      </c>
      <c r="D13" s="84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83" t="s">
        <v>148</v>
      </c>
      <c r="B1" s="85"/>
      <c r="C1" s="84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86" t="s">
        <v>159</v>
      </c>
      <c r="B1" s="87"/>
      <c r="C1" s="87"/>
      <c r="D1" s="88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86" t="s">
        <v>171</v>
      </c>
      <c r="B1" s="87"/>
      <c r="C1" s="87"/>
      <c r="D1" s="87"/>
      <c r="E1" s="87"/>
      <c r="F1" s="88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82" t="s">
        <v>177</v>
      </c>
      <c r="E15" s="82"/>
      <c r="F15" s="26">
        <f>SUM(F3:F14)</f>
        <v>8669.24</v>
      </c>
    </row>
    <row r="16" spans="1:6" x14ac:dyDescent="0.25">
      <c r="D16" s="82" t="s">
        <v>178</v>
      </c>
      <c r="E16" s="82"/>
      <c r="F16" s="26">
        <f>AVERAGE(F3:F14)</f>
        <v>722.43666666666661</v>
      </c>
    </row>
    <row r="17" spans="4:6" x14ac:dyDescent="0.25">
      <c r="D17" s="82" t="s">
        <v>179</v>
      </c>
      <c r="E17" s="82"/>
      <c r="F17" s="26">
        <f>MAX(F3:F14)</f>
        <v>1670.3999999999999</v>
      </c>
    </row>
    <row r="18" spans="4:6" x14ac:dyDescent="0.25">
      <c r="D18" s="82" t="s">
        <v>180</v>
      </c>
      <c r="E18" s="82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89" t="s">
        <v>198</v>
      </c>
      <c r="B1" s="89"/>
      <c r="C1" s="89"/>
      <c r="D1" s="89"/>
      <c r="E1" s="89"/>
      <c r="F1" s="89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89" t="s">
        <v>206</v>
      </c>
      <c r="B1" s="89"/>
      <c r="C1" s="89"/>
      <c r="D1" s="89"/>
    </row>
    <row r="2" spans="1:4" x14ac:dyDescent="0.25">
      <c r="A2" s="51" t="s">
        <v>208</v>
      </c>
      <c r="B2" s="90" t="s">
        <v>210</v>
      </c>
      <c r="C2" s="91"/>
      <c r="D2" s="92"/>
    </row>
    <row r="3" spans="1:4" x14ac:dyDescent="0.25">
      <c r="A3" s="51" t="s">
        <v>43</v>
      </c>
      <c r="B3" s="93">
        <v>5144230</v>
      </c>
      <c r="C3" s="94"/>
      <c r="D3" s="95"/>
    </row>
    <row r="4" spans="1:4" x14ac:dyDescent="0.25">
      <c r="A4" s="51" t="s">
        <v>207</v>
      </c>
      <c r="B4" s="90" t="s">
        <v>211</v>
      </c>
      <c r="C4" s="91"/>
      <c r="D4" s="92"/>
    </row>
    <row r="5" spans="1:4" x14ac:dyDescent="0.25">
      <c r="A5" s="51" t="s">
        <v>154</v>
      </c>
      <c r="B5" s="96">
        <v>33337878</v>
      </c>
      <c r="C5" s="97"/>
      <c r="D5" s="98"/>
    </row>
    <row r="7" spans="1:4" x14ac:dyDescent="0.25">
      <c r="A7" s="89" t="s">
        <v>205</v>
      </c>
      <c r="B7" s="89"/>
      <c r="C7" s="89"/>
      <c r="D7" s="89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83" t="s">
        <v>209</v>
      </c>
      <c r="C15" s="84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83" t="s">
        <v>200</v>
      </c>
      <c r="C18" s="84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99" t="s">
        <v>217</v>
      </c>
      <c r="B1" s="100"/>
      <c r="C1" s="100"/>
      <c r="D1" s="100"/>
      <c r="E1" s="100"/>
      <c r="F1" s="100"/>
      <c r="G1" s="100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81" t="s">
        <v>234</v>
      </c>
      <c r="B1" s="82"/>
      <c r="D1" s="86" t="s">
        <v>237</v>
      </c>
      <c r="E1" s="88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81" t="s">
        <v>242</v>
      </c>
      <c r="B1" s="81"/>
      <c r="C1" s="81"/>
      <c r="D1" s="81"/>
      <c r="E1" s="81"/>
      <c r="G1" s="81" t="s">
        <v>237</v>
      </c>
      <c r="H1" s="82"/>
      <c r="I1" s="82"/>
      <c r="J1" s="82"/>
      <c r="K1" s="82"/>
      <c r="L1" s="82"/>
      <c r="M1" s="82"/>
      <c r="N1" s="82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01" t="s">
        <v>246</v>
      </c>
      <c r="H2" s="101"/>
      <c r="I2" s="7"/>
      <c r="J2" s="82" t="s">
        <v>247</v>
      </c>
      <c r="K2" s="82"/>
      <c r="L2" s="7"/>
      <c r="M2" s="82" t="s">
        <v>248</v>
      </c>
      <c r="N2" s="82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02" t="s">
        <v>257</v>
      </c>
      <c r="B1" s="103"/>
      <c r="C1" s="103"/>
      <c r="D1" s="103"/>
      <c r="E1" s="104"/>
      <c r="G1" s="89" t="s">
        <v>263</v>
      </c>
      <c r="H1" s="89"/>
      <c r="I1" s="89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81" t="s">
        <v>273</v>
      </c>
      <c r="B1" s="81"/>
      <c r="C1" s="81"/>
      <c r="D1" s="81"/>
      <c r="F1" s="81" t="s">
        <v>274</v>
      </c>
      <c r="G1" s="81"/>
      <c r="H1" s="81"/>
      <c r="I1" s="81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82" t="s">
        <v>293</v>
      </c>
      <c r="G9" s="82"/>
      <c r="H9" s="82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82" t="s">
        <v>294</v>
      </c>
      <c r="G10" s="82"/>
      <c r="H10" s="82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81" t="s">
        <v>303</v>
      </c>
      <c r="B1" s="81"/>
      <c r="C1" s="81"/>
      <c r="D1" s="81"/>
      <c r="E1" s="81"/>
    </row>
    <row r="2" spans="1:5" x14ac:dyDescent="0.25">
      <c r="A2" s="60" t="s">
        <v>278</v>
      </c>
      <c r="B2" s="60" t="s">
        <v>100</v>
      </c>
      <c r="C2" s="7"/>
      <c r="D2" s="83" t="s">
        <v>296</v>
      </c>
      <c r="E2" s="84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83" t="s">
        <v>302</v>
      </c>
      <c r="E10" s="84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89" t="s">
        <v>305</v>
      </c>
      <c r="B1" s="105"/>
      <c r="C1" s="105"/>
      <c r="D1" s="105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2" operator="equal">
      <formula>0.038</formula>
    </cfRule>
    <cfRule type="cellIs" dxfId="3" priority="1" operator="equal">
      <formula>0.025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81" t="s">
        <v>316</v>
      </c>
      <c r="B1" s="81"/>
      <c r="C1" s="81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3" operator="equal">
      <formula>"Aprovado"</formula>
    </cfRule>
    <cfRule type="cellIs" dxfId="1" priority="2" operator="equal">
      <formula>"Em Recuperação"</formula>
    </cfRule>
    <cfRule type="cellIs" dxfId="0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86" t="s">
        <v>325</v>
      </c>
      <c r="B1" s="87"/>
      <c r="C1" s="88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tabSelected="1"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89" t="s">
        <v>342</v>
      </c>
      <c r="B1" s="89"/>
      <c r="C1" s="89"/>
      <c r="D1" s="89"/>
      <c r="F1" s="81" t="s">
        <v>347</v>
      </c>
      <c r="G1" s="81"/>
      <c r="H1" s="81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2026-02-26T00:43:07Z</dcterms:modified>
</cp:coreProperties>
</file>