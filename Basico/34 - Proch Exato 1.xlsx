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703B2DB0-B843-4899-8E7E-1056BEE10209}" xr6:coauthVersionLast="36" xr6:coauthVersionMax="36" xr10:uidLastSave="{00000000-0000-0000-0000-000000000000}"/>
  <bookViews>
    <workbookView xWindow="0" yWindow="0" windowWidth="15360" windowHeight="7425" firstSheet="27" activeTab="32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  <sheet name="33-Procv Aproximado 2" sheetId="34" r:id="rId32"/>
    <sheet name="34-Proch Exato 1" sheetId="35" r:id="rId3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35" l="1"/>
  <c r="I5" i="35"/>
  <c r="I4" i="35"/>
  <c r="I3" i="35"/>
  <c r="D4" i="34"/>
  <c r="D5" i="34"/>
  <c r="D6" i="34"/>
  <c r="D7" i="34"/>
  <c r="D8" i="34"/>
  <c r="D9" i="34"/>
  <c r="D3" i="34"/>
  <c r="C4" i="34"/>
  <c r="C5" i="34"/>
  <c r="C6" i="34"/>
  <c r="C7" i="34"/>
  <c r="C8" i="34"/>
  <c r="C9" i="34"/>
  <c r="C3" i="34"/>
  <c r="F4" i="33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E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<sst xmlns="http://schemas.openxmlformats.org/spreadsheetml/2006/main" count="690" uniqueCount="450">
  <si>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</si>
  <si>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</si>
  <si>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</si>
  <si>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</si>
  <si>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</si>
  <si>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</si>
  <si>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</si>
  <si>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</si>
  <si>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</si>
  <si>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</si>
  <si>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</si>
  <si>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</si>
  <si>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</si>
  <si>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</si>
  <si>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</si>
  <si>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</si>
  <si>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</si>
  <si>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</si>
  <si>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</si>
  <si>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</si>
  <si>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</si>
  <si>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</si>
  <si>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</si>
  <si>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</si>
  <si>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</si>
  <si>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</si>
  <si>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</si>
  <si>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</si>
  <si>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</si>
  <si>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</si>
  <si>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</si>
  <si>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</si>
  <si>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</si>
  <si>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</si>
  <si>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</si>
  <si>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</si>
  <si>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</si>
  <si>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</si>
  <si>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</si>
  <si>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</si>
  <si>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</si>
  <si>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</si>
  <si>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</si>
  <si>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</si>
  <si>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</si>
  <si>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</si>
  <si>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</si>
  <si>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</si>
  <si>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</si>
  <si>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</si>
  <si>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</si>
  <si>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</si>
  <si>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</si>
  <si>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</si>
  <si>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</si>
  <si>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</si>
  <si>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</si>
  <si>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</si>
  <si>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</si>
  <si>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</si>
  <si>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</si>
  <si>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</si>
  <si>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</si>
  <si>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</si>
  <si>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</si>
  <si>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</si>
  <si>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</si>
  <si>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</si>
  <si>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</si>
  <si>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</si>
  <si>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</si>
  <si>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</si>
  <si>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</si>
  <si>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</si>
  <si>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</si>
  <si>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</si>
  <si>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</si>
  <si>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</si>
  <si>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</si>
  <si>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</si>
  <si>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</si>
  <si>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</si>
  <si>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</si>
  <si>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</si>
  <si>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</si>
  <si>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</si>
  <si>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</si>
  <si>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</si>
  <si>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</si>
  <si>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</si>
  <si>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</si>
  <si>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</si>
  <si>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</si>
  <si>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</si>
  <si>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</si>
  <si>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</si>
  <si>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</si>
  <si>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</si>
  <si>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</si>
  <si>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</si>
  <si>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</si>
  <si>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</si>
  <si>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</si>
  <si>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</si>
  <si>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</si>
  <si>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</si>
  <si>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</si>
  <si>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</si>
  <si>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</si>
  <si>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</si>
  <si>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</si>
  <si>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</si>
  <si>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</si>
  <si>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</si>
  <si>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</si>
  <si>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</si>
  <si>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</si>
  <si>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</si>
  <si>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</si>
  <si>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</si>
  <si>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</si>
  <si>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</si>
  <si>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</si>
  <si>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</si>
  <si>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</si>
  <si>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</si>
  <si>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</si>
  <si>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</si>
  <si>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</si>
  <si>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</si>
  <si>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</si>
  <si>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</si>
  <si>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</si>
  <si>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</si>
  <si>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</si>
  <si>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</si>
  <si>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</si>
  <si>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</si>
  <si>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</si>
  <si>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</si>
  <si>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</si>
  <si>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</si>
  <si>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</si>
  <si>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</si>
  <si>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</si>
  <si>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</si>
  <si>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</si>
  <si>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</si>
  <si>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</si>
  <si>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</si>
  <si>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</si>
  <si>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</si>
  <si>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</si>
  <si>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</si>
  <si>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</si>
  <si>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</si>
  <si>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</si>
  <si>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</si>
  <si>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</si>
  <si>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</si>
  <si>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</si>
  <si>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</si>
  <si>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</si>
  <si>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</si>
  <si>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</si>
  <si>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</si>
  <si>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</si>
  <si>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</si>
  <si>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</si>
  <si>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</si>
  <si>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</si>
  <si>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</si>
  <si>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</si>
  <si>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</si>
  <si>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</si>
  <si>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</si>
  <si>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</si>
  <si>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</si>
  <si>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</si>
  <si>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</si>
  <si>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</si>
  <si>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</si>
  <si>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</si>
  <si>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</si>
  <si>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</si>
  <si>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</si>
  <si>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</si>
  <si>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</si>
  <si>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</si>
  <si>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</si>
  <si>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</si>
  <si>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</si>
  <si>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</si>
  <si>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</si>
  <si>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</si>
  <si>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</si>
  <si>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</si>
  <si>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</si>
  <si>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</si>
  <si>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</si>
  <si>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</si>
  <si>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</si>
  <si>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</si>
  <si>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</si>
  <si>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</si>
  <si>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</si>
  <si>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</si>
  <si>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</si>
  <si>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</si>
  <si>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</si>
  <si>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</si>
  <si>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</si>
  <si>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</si>
  <si>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</si>
  <si>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</si>
  <si>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</si>
  <si>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</si>
  <si>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</si>
  <si>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</si>
  <si>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</si>
  <si>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</si>
  <si>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</si>
  <si>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</si>
  <si>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</si>
  <si>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</si>
  <si>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</si>
  <si>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</si>
  <si>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</si>
  <si>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</si>
  <si>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</si>
  <si>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</si>
  <si>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</si>
  <si>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</si>
  <si>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</si>
  <si>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</si>
  <si>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</si>
  <si>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</si>
  <si>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</si>
  <si>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</si>
  <si>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</si>
  <si>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</si>
  <si>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</si>
  <si>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</si>
  <si>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</si>
  <si>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</si>
  <si>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</si>
  <si>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</si>
  <si>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</si>
  <si>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</si>
  <si>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</si>
  <si>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</si>
  <si>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</si>
  <si>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</si>
  <si>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</si>
  <si>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</si>
  <si>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</si>
  <si>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</si>
  <si>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</si>
  <si>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</si>
  <si>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</si>
  <si>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</si>
  <si>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</si>
  <si>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</si>
  <si>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</si>
  <si>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</si>
  <si>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</si>
  <si>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</si>
  <si>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</si>
  <si>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</si>
  <si>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</si>
  <si>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</si>
  <si>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</si>
  <si>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</si>
  <si>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</si>
  <si>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</si>
  <si>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</si>
  <si>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</si>
  <si>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</si>
  <si>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</si>
  <si>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</si>
  <si>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</si>
  <si>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</si>
  <si>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</si>
  <si>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</si>
  <si>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</si>
  <si>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</si>
  <si>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</si>
  <si>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</si>
  <si>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</si>
  <si>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</si>
  <si>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</si>
  <si>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</si>
  <si>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</si>
  <si>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</si>
  <si>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</si>
  <si>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</si>
  <si>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</si>
  <si>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</si>
  <si>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</si>
  <si>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</si>
  <si>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</si>
  <si>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</si>
  <si>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</si>
  <si>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</si>
  <si>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</si>
  <si>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</si>
  <si>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</si>
  <si>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</si>
  <si>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</si>
  <si>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</si>
  <si>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</si>
  <si>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</si>
  <si>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</si>
  <si>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</si>
  <si>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</si>
  <si>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</si>
  <si>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</si>
  <si>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</si>
  <si>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</si>
  <si>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</si>
  <si>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</si>
  <si>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</si>
  <si>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</si>
  <si>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</si>
  <si>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</si>
  <si>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</si>
  <si>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</si>
  <si>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</si>
  <si>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</si>
  <si>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</si>
  <si>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</si>
  <si>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</si>
  <si>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</si>
  <si>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</si>
  <si>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</si>
  <si>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</si>
  <si>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</si>
  <si>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</si>
  <si>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</si>
  <si>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</si>
  <si>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</si>
  <si>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</si>
  <si>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</si>
  <si>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</si>
  <si>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</si>
  <si>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</si>
  <si>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</si>
  <si>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</si>
  <si>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</si>
  <si>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</si>
  <si>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</si>
  <si>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</si>
  <si>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</si>
  <si>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</si>
  <si>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</si>
  <si>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</si>
  <si>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</si>
  <si>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</si>
  <si>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</si>
  <si>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</si>
  <si>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</si>
  <si>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</si>
  <si>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</si>
  <si>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</si>
  <si>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</si>
  <si>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</si>
  <si>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</si>
  <si>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</si>
  <si>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</si>
  <si>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</si>
  <si>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</si>
  <si>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</si>
  <si>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</si>
  <si>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</si>
  <si>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</si>
  <si>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</si>
  <si>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</si>
  <si>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</si>
  <si>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</si>
  <si>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</si>
  <si>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</si>
  <si>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</si>
  <si>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</si>
  <si>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</si>
  <si>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</si>
  <si>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</si>
  <si>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</si>
  <si>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</si>
  <si>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</si>
  <si>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</si>
  <si>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</si>
  <si>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</si>
  <si>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</si>
  <si>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</si>
  <si>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</si>
  <si>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</si>
  <si>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</si>
  <si>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</si>
  <si>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</si>
  <si>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</si>
  <si>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</si>
  <si>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</si>
  <si>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</si>
  <si>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</si>
  <si>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</si>
  <si>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</si>
  <si>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</si>
  <si>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</si>
  <si>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</si>
  <si>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</si>
  <si>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</si>
  <si>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</si>
  <si>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</si>
  <si>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</si>
  <si>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</si>
  <si>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</si>
  <si>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</si>
  <si>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</si>
  <si>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</si>
  <si>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</si>
  <si>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</si>
  <si>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</si>
  <si>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</si>
  <si>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</si>
  <si>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</si>
  <si>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</si>
  <si>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</si>
  <si>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</si>
  <si>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</si>
  <si>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</si>
  <si>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</si>
  <si>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</si>
  <si>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</si>
  <si>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</si>
  <si>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</si>
  <si>
    <t>CONTROLE DE PAGAMENTO DE COMISSÕES</t>
  </si>
  <si>
    <t>% DE COMISSÃO</t>
  </si>
  <si>
    <t>COMISSÃO EM REAIS</t>
  </si>
  <si>
    <t>Ana Machado</t>
  </si>
  <si>
    <t>Augusto Filho</t>
  </si>
  <si>
    <t>Débora Roma</t>
  </si>
  <si>
    <t>Marcos Azevedo</t>
  </si>
  <si>
    <t>Robson Moraes</t>
  </si>
  <si>
    <t>Maria da Conceição</t>
  </si>
  <si>
    <t>Rebeca Alves Sousa</t>
  </si>
  <si>
    <t>CONSULTA DO % DE COMISSÃO</t>
  </si>
  <si>
    <t>PESQUISA</t>
  </si>
  <si>
    <t>FUNCIONÁRIOS</t>
  </si>
  <si>
    <t>Gerente de vendas</t>
  </si>
  <si>
    <t>Estagiário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</si>
</sst>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2" applyNumberFormat="1" applyFont="1"/>
    <xf numFmtId="0" fontId="0" fillId="5" borderId="2" xfId="0" applyFill="1" applyBorder="1" applyAlignment="1">
      <alignment horizontal="center" vertical="center"/>
    </xf>
    <xf numFmtId="0" fontId="2" fillId="4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96" t="s">
        <v>0</v>
      </c>
      <c r="B1" s="96"/>
      <c r="C1" s="96"/>
      <c r="D1" s="96"/>
    </row>
    <row r="2" spans="1:4" x14ac:dyDescent="0.25">
      <c r="A2" s="97" t="s">
        <v>1</v>
      </c>
      <c r="B2" s="98" t="s">
        <v>2</v>
      </c>
      <c r="C2" s="2">
        <v>23</v>
      </c>
      <c r="D2" s="1">
        <f>C2</f>
        <v>23</v>
      </c>
    </row>
    <row r="3" spans="1:4" x14ac:dyDescent="0.25">
      <c r="A3" s="97"/>
      <c r="B3" s="98"/>
      <c r="C3" s="3">
        <v>0.1</v>
      </c>
      <c r="D3" s="10">
        <f t="shared" ref="D3:D6" si="0">C3</f>
        <v>0.1</v>
      </c>
    </row>
    <row r="4" spans="1:4" x14ac:dyDescent="0.25">
      <c r="A4" s="97"/>
      <c r="B4" s="98"/>
      <c r="C4">
        <v>2.58</v>
      </c>
      <c r="D4" s="9">
        <f t="shared" si="0"/>
        <v>2.58</v>
      </c>
    </row>
    <row r="5" spans="1:4" x14ac:dyDescent="0.25">
      <c r="A5" s="97"/>
      <c r="B5" s="98"/>
      <c r="C5" s="4">
        <v>1000</v>
      </c>
      <c r="D5" s="11">
        <f t="shared" si="0"/>
        <v>1000</v>
      </c>
    </row>
    <row r="6" spans="1:4" x14ac:dyDescent="0.25">
      <c r="A6" s="97"/>
      <c r="B6" s="98"/>
      <c r="C6" s="5">
        <v>42567</v>
      </c>
      <c r="D6" s="8">
        <f t="shared" si="0"/>
        <v>42567</v>
      </c>
    </row>
    <row r="7" spans="1:4" ht="30" x14ac:dyDescent="0.25">
      <c r="A7" s="97"/>
      <c r="B7" s="98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99" t="s">
        <v>41</v>
      </c>
      <c r="B1" s="99"/>
      <c r="C1" s="99"/>
      <c r="D1" s="99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100" t="s">
        <v>46</v>
      </c>
      <c r="B1" s="100"/>
      <c r="C1" s="100"/>
      <c r="D1" s="100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101" t="s">
        <v>78</v>
      </c>
      <c r="B1" s="101"/>
      <c r="C1" s="101"/>
      <c r="D1" s="101"/>
      <c r="E1" s="101"/>
      <c r="F1" s="101"/>
      <c r="G1" s="101"/>
      <c r="H1" s="101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2" t="s">
        <v>95</v>
      </c>
      <c r="B1" s="102"/>
      <c r="C1" s="102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02" t="s">
        <v>99</v>
      </c>
      <c r="B1" s="102"/>
      <c r="C1" s="102"/>
      <c r="D1" s="102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3" t="s">
        <v>99</v>
      </c>
      <c r="B1" s="104"/>
      <c r="C1" s="105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102" t="s">
        <v>104</v>
      </c>
      <c r="B1" s="102"/>
      <c r="C1" s="102"/>
      <c r="D1" s="102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3" t="s">
        <v>104</v>
      </c>
      <c r="B1" s="104"/>
      <c r="C1" s="105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2" t="s">
        <v>112</v>
      </c>
      <c r="B1" s="102"/>
      <c r="C1" s="102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2" t="s">
        <v>112</v>
      </c>
      <c r="B1" s="102"/>
      <c r="C1" s="102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06" t="s">
        <v>113</v>
      </c>
      <c r="B1" s="106"/>
      <c r="C1" s="106"/>
      <c r="D1" s="106"/>
      <c r="E1" s="106"/>
      <c r="F1" s="106"/>
      <c r="G1" s="106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06" t="s">
        <v>120</v>
      </c>
      <c r="B1" s="107"/>
      <c r="C1" s="107"/>
      <c r="D1" s="107"/>
      <c r="E1" s="107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08" t="s">
        <v>146</v>
      </c>
      <c r="D13" s="109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08" t="s">
        <v>148</v>
      </c>
      <c r="B1" s="110"/>
      <c r="C1" s="109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11" t="s">
        <v>159</v>
      </c>
      <c r="B1" s="112"/>
      <c r="C1" s="112"/>
      <c r="D1" s="113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11" t="s">
        <v>171</v>
      </c>
      <c r="B1" s="112"/>
      <c r="C1" s="112"/>
      <c r="D1" s="112"/>
      <c r="E1" s="112"/>
      <c r="F1" s="113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07" t="s">
        <v>177</v>
      </c>
      <c r="E15" s="107"/>
      <c r="F15" s="26">
        <f>SUM(F3:F14)</f>
        <v>8669.24</v>
      </c>
    </row>
    <row r="16" spans="1:6" x14ac:dyDescent="0.25">
      <c r="D16" s="107" t="s">
        <v>178</v>
      </c>
      <c r="E16" s="107"/>
      <c r="F16" s="26">
        <f>AVERAGE(F3:F14)</f>
        <v>722.43666666666661</v>
      </c>
    </row>
    <row r="17" spans="4:6" x14ac:dyDescent="0.25">
      <c r="D17" s="107" t="s">
        <v>179</v>
      </c>
      <c r="E17" s="107"/>
      <c r="F17" s="26">
        <f>MAX(F3:F14)</f>
        <v>1670.3999999999999</v>
      </c>
    </row>
    <row r="18" spans="4:6" x14ac:dyDescent="0.25">
      <c r="D18" s="107" t="s">
        <v>180</v>
      </c>
      <c r="E18" s="107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14" t="s">
        <v>198</v>
      </c>
      <c r="B1" s="114"/>
      <c r="C1" s="114"/>
      <c r="D1" s="114"/>
      <c r="E1" s="114"/>
      <c r="F1" s="114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14" t="s">
        <v>206</v>
      </c>
      <c r="B1" s="114"/>
      <c r="C1" s="114"/>
      <c r="D1" s="114"/>
    </row>
    <row r="2" spans="1:4" x14ac:dyDescent="0.25">
      <c r="A2" s="51" t="s">
        <v>208</v>
      </c>
      <c r="B2" s="115" t="s">
        <v>210</v>
      </c>
      <c r="C2" s="116"/>
      <c r="D2" s="117"/>
    </row>
    <row r="3" spans="1:4" x14ac:dyDescent="0.25">
      <c r="A3" s="51" t="s">
        <v>43</v>
      </c>
      <c r="B3" s="118">
        <v>5144230</v>
      </c>
      <c r="C3" s="119"/>
      <c r="D3" s="120"/>
    </row>
    <row r="4" spans="1:4" x14ac:dyDescent="0.25">
      <c r="A4" s="51" t="s">
        <v>207</v>
      </c>
      <c r="B4" s="115" t="s">
        <v>211</v>
      </c>
      <c r="C4" s="116"/>
      <c r="D4" s="117"/>
    </row>
    <row r="5" spans="1:4" x14ac:dyDescent="0.25">
      <c r="A5" s="51" t="s">
        <v>154</v>
      </c>
      <c r="B5" s="121">
        <v>33337878</v>
      </c>
      <c r="C5" s="122"/>
      <c r="D5" s="123"/>
    </row>
    <row r="7" spans="1:4" x14ac:dyDescent="0.25">
      <c r="A7" s="114" t="s">
        <v>205</v>
      </c>
      <c r="B7" s="114"/>
      <c r="C7" s="114"/>
      <c r="D7" s="114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08" t="s">
        <v>209</v>
      </c>
      <c r="C15" s="109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08" t="s">
        <v>200</v>
      </c>
      <c r="C18" s="109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24" t="s">
        <v>217</v>
      </c>
      <c r="B1" s="125"/>
      <c r="C1" s="125"/>
      <c r="D1" s="125"/>
      <c r="E1" s="125"/>
      <c r="F1" s="125"/>
      <c r="G1" s="125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06" t="s">
        <v>234</v>
      </c>
      <c r="B1" s="107"/>
      <c r="D1" s="111" t="s">
        <v>237</v>
      </c>
      <c r="E1" s="113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06" t="s">
        <v>242</v>
      </c>
      <c r="B1" s="106"/>
      <c r="C1" s="106"/>
      <c r="D1" s="106"/>
      <c r="E1" s="106"/>
      <c r="G1" s="106" t="s">
        <v>237</v>
      </c>
      <c r="H1" s="107"/>
      <c r="I1" s="107"/>
      <c r="J1" s="107"/>
      <c r="K1" s="107"/>
      <c r="L1" s="107"/>
      <c r="M1" s="107"/>
      <c r="N1" s="107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26" t="s">
        <v>246</v>
      </c>
      <c r="H2" s="126"/>
      <c r="I2" s="7"/>
      <c r="J2" s="107" t="s">
        <v>247</v>
      </c>
      <c r="K2" s="107"/>
      <c r="L2" s="7"/>
      <c r="M2" s="107" t="s">
        <v>248</v>
      </c>
      <c r="N2" s="107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27" t="s">
        <v>257</v>
      </c>
      <c r="B1" s="128"/>
      <c r="C1" s="128"/>
      <c r="D1" s="128"/>
      <c r="E1" s="129"/>
      <c r="G1" s="114" t="s">
        <v>263</v>
      </c>
      <c r="H1" s="114"/>
      <c r="I1" s="114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06" t="s">
        <v>273</v>
      </c>
      <c r="B1" s="106"/>
      <c r="C1" s="106"/>
      <c r="D1" s="106"/>
      <c r="F1" s="106" t="s">
        <v>274</v>
      </c>
      <c r="G1" s="106"/>
      <c r="H1" s="106"/>
      <c r="I1" s="106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07" t="s">
        <v>293</v>
      </c>
      <c r="G9" s="107"/>
      <c r="H9" s="107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07" t="s">
        <v>294</v>
      </c>
      <c r="G10" s="107"/>
      <c r="H10" s="107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06" t="s">
        <v>303</v>
      </c>
      <c r="B1" s="106"/>
      <c r="C1" s="106"/>
      <c r="D1" s="106"/>
      <c r="E1" s="106"/>
    </row>
    <row r="2" spans="1:5" x14ac:dyDescent="0.25">
      <c r="A2" s="60" t="s">
        <v>278</v>
      </c>
      <c r="B2" s="60" t="s">
        <v>100</v>
      </c>
      <c r="C2" s="7"/>
      <c r="D2" s="108" t="s">
        <v>296</v>
      </c>
      <c r="E2" s="109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08" t="s">
        <v>302</v>
      </c>
      <c r="E10" s="109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14" t="s">
        <v>305</v>
      </c>
      <c r="B1" s="130"/>
      <c r="C1" s="130"/>
      <c r="D1" s="130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106" t="s">
        <v>316</v>
      </c>
      <c r="B1" s="106"/>
      <c r="C1" s="106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11" t="s">
        <v>325</v>
      </c>
      <c r="B1" s="112"/>
      <c r="C1" s="113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14" t="s">
        <v>342</v>
      </c>
      <c r="B1" s="114"/>
      <c r="C1" s="114"/>
      <c r="D1" s="114"/>
      <c r="F1" s="106" t="s">
        <v>347</v>
      </c>
      <c r="G1" s="106"/>
      <c r="H1" s="106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7" sqref="B17:C17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14" t="s">
        <v>414</v>
      </c>
      <c r="B1" s="114"/>
      <c r="C1" s="114"/>
      <c r="D1" s="114"/>
      <c r="E1" s="114"/>
      <c r="F1" s="114"/>
      <c r="G1" s="114"/>
      <c r="H1" s="114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33" t="s">
        <v>408</v>
      </c>
      <c r="B15" s="133"/>
      <c r="C15" s="133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34" t="s">
        <v>400</v>
      </c>
      <c r="C16" s="134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31">
        <f>VLOOKUP($B$16,$A$3:$H$13,2,FALSE)</f>
        <v>32240</v>
      </c>
      <c r="C17" s="131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31" t="str">
        <f>VLOOKUP($B$16,$A$3:$H$13,3,FALSE)</f>
        <v>M</v>
      </c>
      <c r="C18" s="131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31" t="str">
        <f>VLOOKUP($B$16,$A$3:$H$13,4,FALSE)</f>
        <v>Av. João Bosco, 415</v>
      </c>
      <c r="C19" s="131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31" t="str">
        <f>VLOOKUP($B$16,$A$3:$H$13,5,FALSE)</f>
        <v>Leme</v>
      </c>
      <c r="C20" s="131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31" t="str">
        <f>VLOOKUP($B$16,$A$3:$H$13,6,FALSE)</f>
        <v>Carapícuiba</v>
      </c>
      <c r="C21" s="131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31" t="str">
        <f>VLOOKUP($B$16,$A$3:$H$13,7,FALSE)</f>
        <v>SP</v>
      </c>
      <c r="C22" s="131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32">
        <f>VLOOKUP($B$16,$A$3:$H$13,8,FALSE)</f>
        <v>8484012</v>
      </c>
      <c r="C23" s="132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A1:H1"/>
    <mergeCell ref="A15:C15"/>
    <mergeCell ref="B16:C16"/>
    <mergeCell ref="B17:C17"/>
    <mergeCell ref="B18:C18"/>
    <mergeCell ref="B19:C19"/>
    <mergeCell ref="B20:C20"/>
    <mergeCell ref="B21:C21"/>
    <mergeCell ref="B22:C22"/>
    <mergeCell ref="B23:C23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5" max="5" width="9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06" t="s">
        <v>418</v>
      </c>
      <c r="B1" s="106"/>
      <c r="C1" s="106"/>
      <c r="D1" s="106"/>
      <c r="E1" s="106"/>
      <c r="F1" s="106"/>
      <c r="H1" s="133" t="s">
        <v>415</v>
      </c>
      <c r="I1" s="133"/>
      <c r="J1" s="133"/>
    </row>
    <row r="2" spans="1:10" x14ac:dyDescent="0.25">
      <c r="A2" s="90" t="s">
        <v>47</v>
      </c>
      <c r="B2" s="90" t="s">
        <v>419</v>
      </c>
      <c r="C2" s="90" t="s">
        <v>420</v>
      </c>
      <c r="D2" s="90" t="s">
        <v>421</v>
      </c>
      <c r="E2" s="9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91">
        <v>1.6</v>
      </c>
      <c r="E3" s="91">
        <f>C3/(D3*D3)</f>
        <v>21.093749999999996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92">
        <v>28</v>
      </c>
      <c r="C4" s="42">
        <v>58</v>
      </c>
      <c r="D4" s="91">
        <v>1.75</v>
      </c>
      <c r="E4" s="9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91">
        <v>1.68</v>
      </c>
      <c r="E5" s="9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91">
        <v>1.9</v>
      </c>
      <c r="E6" s="9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91">
        <v>1.54</v>
      </c>
      <c r="E7" s="9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91">
        <v>1.61</v>
      </c>
      <c r="E8" s="9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91">
        <v>1.63</v>
      </c>
      <c r="E9" s="9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91">
        <v>1.75</v>
      </c>
      <c r="E10" s="9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91">
        <v>1.82</v>
      </c>
      <c r="E11" s="9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91">
        <v>1.59</v>
      </c>
      <c r="E12" s="9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91">
        <v>1.72</v>
      </c>
      <c r="E13" s="9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F78-3A97-4FE1-A947-D390DC22C965}">
  <dimension ref="A1:H9"/>
  <sheetViews>
    <sheetView workbookViewId="0">
      <selection activeCell="F9" sqref="F9"/>
    </sheetView>
  </sheetViews>
  <sheetFormatPr defaultColWidth="18.28515625" defaultRowHeight="15" x14ac:dyDescent="0.25"/>
  <cols>
    <col min="1" max="1" width="18.5703125" bestFit="1" customWidth="1"/>
    <col min="4" max="4" width="22.85546875" customWidth="1"/>
    <col min="5" max="5" width="3.42578125" customWidth="1"/>
  </cols>
  <sheetData>
    <row r="1" spans="1:8" x14ac:dyDescent="0.25">
      <c r="A1" s="106" t="s">
        <v>435</v>
      </c>
      <c r="B1" s="107"/>
      <c r="C1" s="107"/>
      <c r="D1" s="107"/>
      <c r="F1" s="135" t="s">
        <v>445</v>
      </c>
      <c r="G1" s="135"/>
      <c r="H1" s="135"/>
    </row>
    <row r="2" spans="1:8" x14ac:dyDescent="0.25">
      <c r="A2" s="90" t="s">
        <v>275</v>
      </c>
      <c r="B2" s="90" t="s">
        <v>100</v>
      </c>
      <c r="C2" s="90" t="s">
        <v>436</v>
      </c>
      <c r="D2" s="90" t="s">
        <v>437</v>
      </c>
      <c r="F2" s="72" t="s">
        <v>416</v>
      </c>
      <c r="G2" s="72" t="s">
        <v>417</v>
      </c>
      <c r="H2" s="72" t="s">
        <v>436</v>
      </c>
    </row>
    <row r="3" spans="1:8" x14ac:dyDescent="0.25">
      <c r="A3" s="19" t="s">
        <v>438</v>
      </c>
      <c r="B3" s="41">
        <v>52100</v>
      </c>
      <c r="C3" s="53">
        <f>VLOOKUP(B3,$F$3:$H$7,3,1)</f>
        <v>0.05</v>
      </c>
      <c r="D3" s="37">
        <f>PRODUCT(B3,C3)</f>
        <v>2605</v>
      </c>
      <c r="F3" s="37">
        <v>0</v>
      </c>
      <c r="G3" s="41">
        <v>10000</v>
      </c>
      <c r="H3" s="53">
        <v>0.01</v>
      </c>
    </row>
    <row r="4" spans="1:8" x14ac:dyDescent="0.25">
      <c r="A4" s="19" t="s">
        <v>439</v>
      </c>
      <c r="B4" s="41">
        <v>9500</v>
      </c>
      <c r="C4" s="53">
        <f t="shared" ref="C4:C9" si="0">VLOOKUP(B4,$F$3:$H$7,3,1)</f>
        <v>0.01</v>
      </c>
      <c r="D4" s="37">
        <f t="shared" ref="D4:D9" si="1">PRODUCT(B4,C4)</f>
        <v>95</v>
      </c>
      <c r="F4" s="37">
        <v>10001</v>
      </c>
      <c r="G4" s="37">
        <v>20000</v>
      </c>
      <c r="H4" s="53">
        <v>0.02</v>
      </c>
    </row>
    <row r="5" spans="1:8" x14ac:dyDescent="0.25">
      <c r="A5" s="19" t="s">
        <v>440</v>
      </c>
      <c r="B5" s="41">
        <v>12458</v>
      </c>
      <c r="C5" s="53">
        <f t="shared" si="0"/>
        <v>0.02</v>
      </c>
      <c r="D5" s="37">
        <f t="shared" si="1"/>
        <v>249.16</v>
      </c>
      <c r="F5" s="37">
        <v>20001</v>
      </c>
      <c r="G5" s="37">
        <v>30000</v>
      </c>
      <c r="H5" s="53">
        <v>0.03</v>
      </c>
    </row>
    <row r="6" spans="1:8" x14ac:dyDescent="0.25">
      <c r="A6" s="19" t="s">
        <v>441</v>
      </c>
      <c r="B6" s="41">
        <v>25825</v>
      </c>
      <c r="C6" s="53">
        <f t="shared" si="0"/>
        <v>0.03</v>
      </c>
      <c r="D6" s="37">
        <f t="shared" si="1"/>
        <v>774.75</v>
      </c>
      <c r="F6" s="37">
        <v>30001</v>
      </c>
      <c r="G6" s="37">
        <v>50000</v>
      </c>
      <c r="H6" s="53">
        <v>0.04</v>
      </c>
    </row>
    <row r="7" spans="1:8" x14ac:dyDescent="0.25">
      <c r="A7" s="19" t="s">
        <v>443</v>
      </c>
      <c r="B7" s="41">
        <v>31500</v>
      </c>
      <c r="C7" s="53">
        <f t="shared" si="0"/>
        <v>0.04</v>
      </c>
      <c r="D7" s="37">
        <f t="shared" si="1"/>
        <v>1260</v>
      </c>
      <c r="F7" s="37">
        <v>50001</v>
      </c>
      <c r="G7" s="37">
        <v>100000</v>
      </c>
      <c r="H7" s="53">
        <v>0.05</v>
      </c>
    </row>
    <row r="8" spans="1:8" x14ac:dyDescent="0.25">
      <c r="A8" s="19" t="s">
        <v>444</v>
      </c>
      <c r="B8" s="41">
        <v>59458</v>
      </c>
      <c r="C8" s="53">
        <f t="shared" si="0"/>
        <v>0.05</v>
      </c>
      <c r="D8" s="37">
        <f t="shared" si="1"/>
        <v>2972.9</v>
      </c>
      <c r="F8" s="93"/>
      <c r="G8" s="93"/>
    </row>
    <row r="9" spans="1:8" x14ac:dyDescent="0.25">
      <c r="A9" s="19" t="s">
        <v>442</v>
      </c>
      <c r="B9" s="41">
        <v>21202</v>
      </c>
      <c r="C9" s="53">
        <f t="shared" si="0"/>
        <v>0.03</v>
      </c>
      <c r="D9" s="37">
        <f t="shared" si="1"/>
        <v>636.05999999999995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C464-85C4-4B73-8411-4D2E837C7530}">
  <dimension ref="A1:I6"/>
  <sheetViews>
    <sheetView tabSelected="1" workbookViewId="0">
      <selection activeCell="I2" sqref="I2"/>
    </sheetView>
  </sheetViews>
  <sheetFormatPr defaultColWidth="18.28515625" defaultRowHeight="15" x14ac:dyDescent="0.25"/>
  <cols>
    <col min="6" max="6" width="19.85546875" bestFit="1" customWidth="1"/>
    <col min="7" max="7" width="3.42578125" customWidth="1"/>
    <col min="9" max="9" width="22.85546875" customWidth="1"/>
  </cols>
  <sheetData>
    <row r="1" spans="1:9" x14ac:dyDescent="0.25">
      <c r="A1" s="106" t="s">
        <v>447</v>
      </c>
      <c r="B1" s="106"/>
      <c r="C1" s="106"/>
      <c r="D1" s="106"/>
      <c r="E1" s="106"/>
      <c r="F1" s="106"/>
      <c r="H1" s="111" t="s">
        <v>446</v>
      </c>
      <c r="I1" s="109"/>
    </row>
    <row r="2" spans="1:9" x14ac:dyDescent="0.25">
      <c r="A2" s="95" t="s">
        <v>121</v>
      </c>
      <c r="B2" s="94">
        <v>1</v>
      </c>
      <c r="C2" s="94">
        <v>2</v>
      </c>
      <c r="D2" s="94">
        <v>3</v>
      </c>
      <c r="E2" s="94">
        <v>4</v>
      </c>
      <c r="F2" s="94">
        <v>5</v>
      </c>
      <c r="H2" s="95" t="s">
        <v>121</v>
      </c>
      <c r="I2" s="94">
        <v>2</v>
      </c>
    </row>
    <row r="3" spans="1:9" x14ac:dyDescent="0.25">
      <c r="A3" s="95" t="s">
        <v>47</v>
      </c>
      <c r="B3" s="45" t="s">
        <v>67</v>
      </c>
      <c r="C3" s="45" t="s">
        <v>68</v>
      </c>
      <c r="D3" s="45" t="s">
        <v>69</v>
      </c>
      <c r="E3" s="45" t="s">
        <v>70</v>
      </c>
      <c r="F3" s="45" t="s">
        <v>71</v>
      </c>
      <c r="H3" s="95" t="s">
        <v>47</v>
      </c>
      <c r="I3" s="94" t="str">
        <f>HLOOKUP($I$2,$B$2:$F$6,2,0)</f>
        <v>Adriano Gomes</v>
      </c>
    </row>
    <row r="4" spans="1:9" x14ac:dyDescent="0.25">
      <c r="A4" s="95" t="s">
        <v>48</v>
      </c>
      <c r="B4" s="45" t="s">
        <v>56</v>
      </c>
      <c r="C4" s="45" t="s">
        <v>61</v>
      </c>
      <c r="D4" s="45" t="s">
        <v>448</v>
      </c>
      <c r="E4" s="45" t="s">
        <v>449</v>
      </c>
      <c r="F4" s="45" t="s">
        <v>60</v>
      </c>
      <c r="H4" s="95" t="s">
        <v>48</v>
      </c>
      <c r="I4" s="94" t="str">
        <f>HLOOKUP($I$2,$B$2:$F$6,3,0)</f>
        <v>Contador</v>
      </c>
    </row>
    <row r="5" spans="1:9" x14ac:dyDescent="0.25">
      <c r="A5" s="95" t="s">
        <v>49</v>
      </c>
      <c r="B5" s="45" t="s">
        <v>51</v>
      </c>
      <c r="C5" s="45" t="s">
        <v>51</v>
      </c>
      <c r="D5" s="45" t="s">
        <v>52</v>
      </c>
      <c r="E5" s="45" t="s">
        <v>53</v>
      </c>
      <c r="F5" s="45" t="s">
        <v>52</v>
      </c>
      <c r="H5" s="95" t="s">
        <v>49</v>
      </c>
      <c r="I5" s="94" t="str">
        <f>HLOOKUP($I$2,$B$2:$F$6,4,0)</f>
        <v>Administração</v>
      </c>
    </row>
    <row r="6" spans="1:9" x14ac:dyDescent="0.25">
      <c r="A6" s="95" t="s">
        <v>50</v>
      </c>
      <c r="B6" s="41">
        <v>2800</v>
      </c>
      <c r="C6" s="41">
        <v>3290</v>
      </c>
      <c r="D6" s="41">
        <v>4500</v>
      </c>
      <c r="E6" s="41">
        <v>850</v>
      </c>
      <c r="F6" s="41">
        <v>2100</v>
      </c>
      <c r="H6" s="95" t="s">
        <v>50</v>
      </c>
      <c r="I6" s="64">
        <f>HLOOKUP($I$2,$B$2:$F$6,5,0)</f>
        <v>3290</v>
      </c>
    </row>
  </sheetData>
  <mergeCells count="2">
    <mergeCell ref="A1:F1"/>
    <mergeCell ref="H1:I1"/>
  </mergeCells>
  <dataValidations count="1">
    <dataValidation type="list" allowBlank="1" showInputMessage="1" showErrorMessage="1" sqref="I2" xr:uid="{0FF22856-4504-4267-9D27-FF5B1F317611}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  <vt:lpstr>33-Procv Aproximado 2</vt:lpstr>
      <vt:lpstr>34-Proch Exato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2026-03-02T22:39:59Z</dcterms:modified>
</cp:coreProperties>
</file>