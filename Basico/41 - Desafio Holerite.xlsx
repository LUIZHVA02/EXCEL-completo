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015B5A62-660C-43F5-9D76-50378A646525}" xr6:coauthVersionLast="36" xr6:coauthVersionMax="36" xr10:uidLastSave="{00000000-0000-0000-0000-000000000000}"/>
  <bookViews>
    <workbookView xWindow="0" yWindow="0" windowWidth="28800" windowHeight="12105" xr2:uid="{0B90536B-DDB3-4277-961D-F2ADE04C1D8E}"/>
  </bookViews>
  <sheets>
    <sheet name="Holerite" sheetId="1" r:id="rId1"/>
    <sheet name="Calendário" sheetId="2" r:id="rId2"/>
    <sheet name="Funcionários" sheetId="3" r:id="rId3"/>
    <sheet name="Cargos e Vencimentos" sheetId="4" r:id="rId4"/>
    <sheet name="Referências e Descontos" sheetId="5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C10" i="1"/>
  <c r="C11" i="1"/>
  <c r="C12" i="1"/>
  <c r="E6" i="1"/>
  <c r="F6" i="1" s="1"/>
  <c r="C6" i="1"/>
  <c r="F10" i="1" l="1"/>
  <c r="D36" i="1" l="1"/>
  <c r="B36" i="1"/>
  <c r="K36" i="1" s="1"/>
  <c r="F30" i="1"/>
  <c r="E11" i="1"/>
  <c r="I11" i="1" s="1"/>
  <c r="E12" i="1"/>
  <c r="I36" i="1" l="1"/>
  <c r="I12" i="1"/>
  <c r="I30" i="1" s="1"/>
  <c r="I32" i="1" s="1"/>
  <c r="E36" i="1"/>
  <c r="G36" i="1" s="1"/>
</calcChain>
</file>

<file path=xl/sharedStrings.xml><?xml version="1.0" encoding="utf-8"?>
<sst xmlns="http://schemas.openxmlformats.org/spreadsheetml/2006/main" count="100" uniqueCount="91">
  <si>
    <t>Empresa</t>
  </si>
  <si>
    <t>CNPJ</t>
  </si>
  <si>
    <t>INFOTECH JANDIRA LTDA</t>
  </si>
  <si>
    <t>Recibo de Pagamento de Salário</t>
  </si>
  <si>
    <t>Mês</t>
  </si>
  <si>
    <t>Ano</t>
  </si>
  <si>
    <t>Código</t>
  </si>
  <si>
    <t>Nome de Funcionário</t>
  </si>
  <si>
    <t>CBO</t>
  </si>
  <si>
    <t>Cargo</t>
  </si>
  <si>
    <t>Local</t>
  </si>
  <si>
    <t>Dpto.</t>
  </si>
  <si>
    <t>Setor</t>
  </si>
  <si>
    <t>Seção</t>
  </si>
  <si>
    <t>FL.</t>
  </si>
  <si>
    <t>Referência</t>
  </si>
  <si>
    <t>Vencimentos</t>
  </si>
  <si>
    <t>Descontos</t>
  </si>
  <si>
    <t>Descrição</t>
  </si>
  <si>
    <t>Cód.</t>
  </si>
  <si>
    <t>Salário base</t>
  </si>
  <si>
    <t>Sal. Cont. INSS</t>
  </si>
  <si>
    <t>Base Cálc. FGTS</t>
  </si>
  <si>
    <t>FGTS do Mês</t>
  </si>
  <si>
    <t>Base Cálc. IRPF</t>
  </si>
  <si>
    <t>Faixa IRPF</t>
  </si>
  <si>
    <t>Valor Líquido</t>
  </si>
  <si>
    <t>Total de Vencimentos</t>
  </si>
  <si>
    <t>Total de Desconto</t>
  </si>
  <si>
    <t>DECLARO TER RECEBIDO A IMPORTÂNCIA LÍQUIDA DISCRIMINADA NESTE RECIBO</t>
  </si>
  <si>
    <t xml:space="preserve">                   ______/ ______/ ______                  _____________________________________</t>
  </si>
  <si>
    <t xml:space="preserve">                                        DATA                                                       ASSINATURA DO FUNCIONÁRIO</t>
  </si>
  <si>
    <t>ANO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</si>
  <si>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</si>
  <si>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</si>
  <si>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</si>
  <si>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</si>
  <si>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</si>
  <si>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</si>
  <si>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</si>
  <si>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</si>
  <si>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</si>
  <si>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</si>
  <si>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</si>
  <si>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</si>
  <si>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</si>
  <si>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CÓDIGO DO FUNCIONÁRIO</t>
  </si>
  <si>
    <t>NOME DO FUNCIONÁRIO</t>
  </si>
  <si>
    <t>João Baptista de Antunes Neto</t>
  </si>
  <si>
    <t>Pedro Paulo Araújo de Souza</t>
  </si>
  <si>
    <t>Luan Ricardo de Moraes</t>
  </si>
  <si>
    <t>Paula Marcelina Perez</t>
  </si>
  <si>
    <t>Luciana Antunes Gomes</t>
  </si>
  <si>
    <t>Meire Cordeiro de Almeira</t>
  </si>
  <si>
    <t>Sampaio Olavo de Alburquerque</t>
  </si>
  <si>
    <t>Melinda Gomes de Souza</t>
  </si>
  <si>
    <t>Maria Cecília Santos</t>
  </si>
  <si>
    <t>José Américo Silva</t>
  </si>
  <si>
    <t>Thalita Antunes Rene</t>
  </si>
  <si>
    <t>Claudia Sprana</t>
  </si>
  <si>
    <t>Jorge Robles Dias</t>
  </si>
  <si>
    <t>Vanessa Augusto Moreira</t>
  </si>
  <si>
    <t>Ricardo Lopes de Almeida</t>
  </si>
  <si>
    <t>Silvia Cardoso Paulin</t>
  </si>
  <si>
    <t>Mariana Diorio Santos</t>
  </si>
  <si>
    <t>Heitor Henrique Gonçalves</t>
  </si>
  <si>
    <t>CARGOS</t>
  </si>
  <si>
    <t>VENCIMENTOS</t>
  </si>
  <si>
    <t>Assintente administativo</t>
  </si>
  <si>
    <t>Diretor administativo</t>
  </si>
  <si>
    <t>Gerente administativo</t>
  </si>
  <si>
    <t>Gerente de vendas</t>
  </si>
  <si>
    <t>Analista de marketing</t>
  </si>
  <si>
    <t>Atendente de telemarketing</t>
  </si>
  <si>
    <t>Auxiliar técnico de eletrônica</t>
  </si>
  <si>
    <t>Desenhista técnico de eletrônica</t>
  </si>
  <si>
    <t>Gerente comercial</t>
  </si>
  <si>
    <t>Auxiliar de limpeza</t>
  </si>
  <si>
    <t>LEGENDA REFERÊNCIAS</t>
  </si>
  <si>
    <t>TABELA INSS</t>
  </si>
  <si>
    <t>TABELA IRPF</t>
  </si>
  <si>
    <t>Alíquota (%)</t>
  </si>
  <si>
    <t>Base de Cálculo</t>
  </si>
  <si>
    <t>De</t>
  </si>
  <si>
    <t>Até</t>
  </si>
  <si>
    <t>Salários</t>
  </si>
  <si>
    <t>% de Desconto</t>
  </si>
  <si>
    <t>Salário</t>
  </si>
  <si>
    <t>INSS</t>
  </si>
  <si>
    <t>IRPF</t>
  </si>
  <si>
    <t>30d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</si>
</sst>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5" formatCode="000&quot;.&quot;000&quot;.&quot;000&quot;/&quot;0000&quot;-&quot;00"/>
    <numFmt numFmtId="166" formatCode="000&quot;-&quot;00&quot;/&quot;0"/>
    <numFmt numFmtId="167" formatCode="0000&quot;-&quot;00"/>
    <numFmt numFmtId="168" formatCode="0.0%"/>
    <numFmt numFmtId="169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/>
    <xf numFmtId="0" fontId="2" fillId="0" borderId="4" xfId="0" applyFont="1" applyBorder="1" applyAlignment="1">
      <alignment horizontal="center" vertical="center" textRotation="90"/>
    </xf>
    <xf numFmtId="0" fontId="0" fillId="0" borderId="6" xfId="0" applyBorder="1" applyAlignment="1"/>
    <xf numFmtId="0" fontId="0" fillId="0" borderId="0" xfId="0" applyBorder="1" applyAlignment="1">
      <alignment horizontal="center" textRotation="90"/>
    </xf>
    <xf numFmtId="0" fontId="0" fillId="0" borderId="5" xfId="0" applyBorder="1" applyAlignment="1">
      <alignment horizontal="center" textRotation="90"/>
    </xf>
    <xf numFmtId="0" fontId="2" fillId="0" borderId="5" xfId="0" applyFont="1" applyBorder="1" applyAlignment="1">
      <alignment horizontal="center" textRotation="90"/>
    </xf>
    <xf numFmtId="0" fontId="2" fillId="2" borderId="9" xfId="0" applyFont="1" applyFill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 wrapText="1"/>
    </xf>
    <xf numFmtId="166" fontId="0" fillId="0" borderId="9" xfId="0" applyNumberForma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167" fontId="2" fillId="2" borderId="9" xfId="0" applyNumberFormat="1" applyFont="1" applyFill="1" applyBorder="1" applyAlignment="1">
      <alignment horizontal="center" vertical="center"/>
    </xf>
    <xf numFmtId="44" fontId="2" fillId="2" borderId="9" xfId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9" fontId="0" fillId="0" borderId="9" xfId="2" applyFont="1" applyBorder="1" applyAlignment="1">
      <alignment horizontal="center" vertical="center"/>
    </xf>
    <xf numFmtId="168" fontId="0" fillId="0" borderId="9" xfId="2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8" fontId="0" fillId="0" borderId="0" xfId="2" applyNumberFormat="1" applyFont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169" fontId="0" fillId="0" borderId="0" xfId="0" applyNumberFormat="1" applyBorder="1" applyAlignment="1">
      <alignment horizontal="center" vertical="center"/>
    </xf>
    <xf numFmtId="169" fontId="0" fillId="0" borderId="5" xfId="0" applyNumberFormat="1" applyBorder="1" applyAlignment="1">
      <alignment horizontal="center" vertical="center"/>
    </xf>
    <xf numFmtId="169" fontId="0" fillId="0" borderId="1" xfId="1" applyNumberFormat="1" applyFont="1" applyBorder="1" applyAlignment="1">
      <alignment horizontal="center" vertical="center"/>
    </xf>
    <xf numFmtId="169" fontId="0" fillId="0" borderId="2" xfId="1" applyNumberFormat="1" applyFont="1" applyBorder="1" applyAlignment="1">
      <alignment horizontal="center" vertical="center"/>
    </xf>
    <xf numFmtId="169" fontId="0" fillId="0" borderId="3" xfId="1" applyNumberFormat="1" applyFon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0" borderId="2" xfId="0" applyNumberFormat="1" applyBorder="1" applyAlignment="1">
      <alignment horizontal="center" vertical="center"/>
    </xf>
    <xf numFmtId="169" fontId="0" fillId="0" borderId="3" xfId="0" applyNumberFormat="1" applyBorder="1" applyAlignment="1">
      <alignment horizontal="center" vertical="center"/>
    </xf>
    <xf numFmtId="169" fontId="0" fillId="0" borderId="6" xfId="0" applyNumberFormat="1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  <xf numFmtId="169" fontId="0" fillId="0" borderId="8" xfId="0" applyNumberFormat="1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C612-EAFB-4672-A33A-AB2C287F9631}">
  <dimension ref="A1:Q37"/>
  <sheetViews>
    <sheetView tabSelected="1" workbookViewId="0">
      <selection activeCell="E13" sqref="E13"/>
    </sheetView>
  </sheetViews>
  <sheetFormatPr defaultRowHeight="15" x14ac:dyDescent="0.25"/>
  <cols>
    <col min="1" max="1" width="3.42578125" customWidth="1"/>
    <col min="3" max="3" width="11.42578125" customWidth="1"/>
    <col min="4" max="4" width="18.28515625" customWidth="1"/>
    <col min="5" max="5" width="10.5703125" bestFit="1" customWidth="1"/>
    <col min="13" max="13" width="3.42578125" customWidth="1"/>
    <col min="14" max="16" width="4.5703125" customWidth="1"/>
    <col min="17" max="17" width="3.42578125" customWidth="1"/>
  </cols>
  <sheetData>
    <row r="1" spans="1:17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</row>
    <row r="2" spans="1:17" x14ac:dyDescent="0.25">
      <c r="A2" s="8"/>
      <c r="B2" s="22" t="s">
        <v>0</v>
      </c>
      <c r="C2" s="24" t="s">
        <v>2</v>
      </c>
      <c r="D2" s="24"/>
      <c r="E2" s="24"/>
      <c r="F2" s="24"/>
      <c r="G2" s="27" t="s">
        <v>3</v>
      </c>
      <c r="H2" s="3"/>
      <c r="I2" s="3"/>
      <c r="J2" s="3"/>
      <c r="K2" s="3"/>
      <c r="L2" s="4"/>
      <c r="M2" s="15"/>
      <c r="N2" s="51"/>
      <c r="O2" s="16"/>
      <c r="P2" s="17"/>
      <c r="Q2" s="14"/>
    </row>
    <row r="3" spans="1:17" x14ac:dyDescent="0.25">
      <c r="A3" s="8"/>
      <c r="B3" s="23" t="s">
        <v>1</v>
      </c>
      <c r="C3" s="26">
        <v>137845290000153</v>
      </c>
      <c r="D3" s="26"/>
      <c r="E3" s="26"/>
      <c r="F3" s="26"/>
      <c r="G3" s="28" t="s">
        <v>4</v>
      </c>
      <c r="H3" s="9" t="s">
        <v>34</v>
      </c>
      <c r="I3" s="9"/>
      <c r="J3" s="28" t="s">
        <v>5</v>
      </c>
      <c r="K3" s="9">
        <v>2019</v>
      </c>
      <c r="L3" s="10"/>
      <c r="M3" s="15"/>
      <c r="N3" s="52" t="s">
        <v>29</v>
      </c>
      <c r="O3" s="54" t="s">
        <v>30</v>
      </c>
      <c r="P3" s="56" t="s">
        <v>31</v>
      </c>
      <c r="Q3" s="14"/>
    </row>
    <row r="4" spans="1:17" ht="3.75" customHeight="1" x14ac:dyDescent="0.25">
      <c r="A4" s="8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52"/>
      <c r="O4" s="54"/>
      <c r="P4" s="55"/>
      <c r="Q4" s="14"/>
    </row>
    <row r="5" spans="1:17" x14ac:dyDescent="0.25">
      <c r="A5" s="8"/>
      <c r="B5" s="22" t="s">
        <v>6</v>
      </c>
      <c r="C5" s="30" t="s">
        <v>7</v>
      </c>
      <c r="D5" s="24"/>
      <c r="E5" s="29" t="s">
        <v>8</v>
      </c>
      <c r="F5" s="29" t="s">
        <v>9</v>
      </c>
      <c r="G5" s="29" t="s">
        <v>10</v>
      </c>
      <c r="H5" s="29" t="s">
        <v>11</v>
      </c>
      <c r="I5" s="29" t="s">
        <v>12</v>
      </c>
      <c r="J5" s="29" t="s">
        <v>13</v>
      </c>
      <c r="K5" s="30" t="s">
        <v>14</v>
      </c>
      <c r="L5" s="31"/>
      <c r="M5" s="15"/>
      <c r="N5" s="52"/>
      <c r="O5" s="54"/>
      <c r="P5" s="55"/>
      <c r="Q5" s="14"/>
    </row>
    <row r="6" spans="1:17" x14ac:dyDescent="0.25">
      <c r="A6" s="8"/>
      <c r="B6" s="80">
        <v>552487</v>
      </c>
      <c r="C6" s="25" t="str">
        <f>VLOOKUP($B$6,Funcionários!$A$2:$C$19,2,FALSE)</f>
        <v>Luan Ricardo de Moraes</v>
      </c>
      <c r="D6" s="25"/>
      <c r="E6" s="81">
        <f>VLOOKUP($B$6,Funcionários!$A$2:$C$19,3,FALSE)</f>
        <v>142335</v>
      </c>
      <c r="F6" s="25" t="str">
        <f>VLOOKUP($E$6,'Cargos e Vencimentos'!$A$2:$C$11,2,FALSE)</f>
        <v>Analista de marketing</v>
      </c>
      <c r="G6" s="25"/>
      <c r="H6" s="25"/>
      <c r="I6" s="25"/>
      <c r="J6" s="25"/>
      <c r="K6" s="25"/>
      <c r="L6" s="43"/>
      <c r="M6" s="15"/>
      <c r="N6" s="52"/>
      <c r="O6" s="54"/>
      <c r="P6" s="55"/>
      <c r="Q6" s="14"/>
    </row>
    <row r="7" spans="1:17" ht="3.75" customHeight="1" x14ac:dyDescent="0.25">
      <c r="A7" s="8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52"/>
      <c r="O7" s="54"/>
      <c r="P7" s="55"/>
      <c r="Q7" s="14"/>
    </row>
    <row r="8" spans="1:17" x14ac:dyDescent="0.25">
      <c r="A8" s="8"/>
      <c r="B8" s="32" t="s">
        <v>19</v>
      </c>
      <c r="C8" s="35" t="s">
        <v>18</v>
      </c>
      <c r="D8" s="34"/>
      <c r="E8" s="36" t="s">
        <v>15</v>
      </c>
      <c r="F8" s="35" t="s">
        <v>16</v>
      </c>
      <c r="G8" s="33"/>
      <c r="H8" s="34"/>
      <c r="I8" s="35" t="s">
        <v>17</v>
      </c>
      <c r="J8" s="33"/>
      <c r="K8" s="33"/>
      <c r="L8" s="34"/>
      <c r="M8" s="15"/>
      <c r="N8" s="52"/>
      <c r="O8" s="54"/>
      <c r="P8" s="55"/>
      <c r="Q8" s="14"/>
    </row>
    <row r="9" spans="1:17" ht="3.75" customHeight="1" x14ac:dyDescent="0.25">
      <c r="A9" s="8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52"/>
      <c r="O9" s="54"/>
      <c r="P9" s="55"/>
      <c r="Q9" s="14"/>
    </row>
    <row r="10" spans="1:17" x14ac:dyDescent="0.25">
      <c r="A10" s="8"/>
      <c r="B10" s="48">
        <v>101</v>
      </c>
      <c r="C10" s="37" t="str">
        <f>VLOOKUP(B10,'Referências e Descontos'!$A$3:$B$5,2,0)</f>
        <v>Salário</v>
      </c>
      <c r="D10" s="38"/>
      <c r="E10" s="78" t="str">
        <f>VLOOKUP(B10,'Referências e Descontos'!$A$3:$C$3,3,0)</f>
        <v>30d</v>
      </c>
      <c r="F10" s="86">
        <f>VLOOKUP($E$6,'Cargos e Vencimentos'!$A$2:$C$11,3,0)</f>
        <v>3150</v>
      </c>
      <c r="G10" s="87"/>
      <c r="H10" s="88"/>
      <c r="I10" s="37"/>
      <c r="J10" s="24"/>
      <c r="K10" s="24"/>
      <c r="L10" s="38"/>
      <c r="M10" s="15"/>
      <c r="N10" s="52"/>
      <c r="O10" s="54"/>
      <c r="P10" s="55"/>
      <c r="Q10" s="14"/>
    </row>
    <row r="11" spans="1:17" x14ac:dyDescent="0.25">
      <c r="A11" s="8"/>
      <c r="B11" s="49">
        <v>973</v>
      </c>
      <c r="C11" s="39" t="str">
        <f>VLOOKUP(B11,'Referências e Descontos'!$A$3:$B$5,2,0)</f>
        <v>INSS</v>
      </c>
      <c r="D11" s="41"/>
      <c r="E11" s="82">
        <f>VLOOKUP($F$10,'Referências e Descontos'!$E$4:$G$6,3,1)</f>
        <v>0.11</v>
      </c>
      <c r="F11" s="39"/>
      <c r="G11" s="40"/>
      <c r="H11" s="41"/>
      <c r="I11" s="83">
        <f>$F$10*E11</f>
        <v>346.5</v>
      </c>
      <c r="J11" s="84"/>
      <c r="K11" s="84"/>
      <c r="L11" s="85"/>
      <c r="M11" s="15"/>
      <c r="N11" s="52"/>
      <c r="O11" s="54"/>
      <c r="P11" s="55"/>
      <c r="Q11" s="14"/>
    </row>
    <row r="12" spans="1:17" x14ac:dyDescent="0.25">
      <c r="A12" s="8"/>
      <c r="B12" s="49">
        <v>987</v>
      </c>
      <c r="C12" s="39" t="str">
        <f>VLOOKUP(B12,'Referências e Descontos'!$A$3:$B$5,2,0)</f>
        <v>IRPF</v>
      </c>
      <c r="D12" s="41"/>
      <c r="E12" s="82">
        <f>VLOOKUP($F$10,'Referências e Descontos'!$I$4:$L$8,3,1)</f>
        <v>0.15</v>
      </c>
      <c r="F12" s="39"/>
      <c r="G12" s="40"/>
      <c r="H12" s="41"/>
      <c r="I12" s="83">
        <f>(F10-I11)*E12</f>
        <v>420.52499999999998</v>
      </c>
      <c r="J12" s="84"/>
      <c r="K12" s="84"/>
      <c r="L12" s="85"/>
      <c r="M12" s="15"/>
      <c r="N12" s="52"/>
      <c r="O12" s="54"/>
      <c r="P12" s="55"/>
      <c r="Q12" s="14"/>
    </row>
    <row r="13" spans="1:17" x14ac:dyDescent="0.25">
      <c r="A13" s="8"/>
      <c r="B13" s="49"/>
      <c r="C13" s="39"/>
      <c r="D13" s="41"/>
      <c r="E13" s="79"/>
      <c r="F13" s="39"/>
      <c r="G13" s="40"/>
      <c r="H13" s="41"/>
      <c r="I13" s="39"/>
      <c r="J13" s="40"/>
      <c r="K13" s="40"/>
      <c r="L13" s="41"/>
      <c r="M13" s="15"/>
      <c r="N13" s="52"/>
      <c r="O13" s="54"/>
      <c r="P13" s="55"/>
      <c r="Q13" s="14"/>
    </row>
    <row r="14" spans="1:17" x14ac:dyDescent="0.25">
      <c r="A14" s="8"/>
      <c r="B14" s="49"/>
      <c r="C14" s="39"/>
      <c r="D14" s="41"/>
      <c r="E14" s="79"/>
      <c r="F14" s="39"/>
      <c r="G14" s="40"/>
      <c r="H14" s="41"/>
      <c r="I14" s="39"/>
      <c r="J14" s="40"/>
      <c r="K14" s="40"/>
      <c r="L14" s="41"/>
      <c r="M14" s="15"/>
      <c r="N14" s="52"/>
      <c r="O14" s="54"/>
      <c r="P14" s="55"/>
      <c r="Q14" s="14"/>
    </row>
    <row r="15" spans="1:17" x14ac:dyDescent="0.25">
      <c r="A15" s="8"/>
      <c r="B15" s="49"/>
      <c r="C15" s="39"/>
      <c r="D15" s="41"/>
      <c r="E15" s="79"/>
      <c r="F15" s="39"/>
      <c r="G15" s="40"/>
      <c r="H15" s="41"/>
      <c r="I15" s="39"/>
      <c r="J15" s="40"/>
      <c r="K15" s="40"/>
      <c r="L15" s="41"/>
      <c r="M15" s="15"/>
      <c r="N15" s="52"/>
      <c r="O15" s="54"/>
      <c r="P15" s="55"/>
      <c r="Q15" s="14"/>
    </row>
    <row r="16" spans="1:17" x14ac:dyDescent="0.25">
      <c r="A16" s="8"/>
      <c r="B16" s="49"/>
      <c r="C16" s="39"/>
      <c r="D16" s="41"/>
      <c r="E16" s="79"/>
      <c r="F16" s="39"/>
      <c r="G16" s="40"/>
      <c r="H16" s="41"/>
      <c r="I16" s="39"/>
      <c r="J16" s="40"/>
      <c r="K16" s="40"/>
      <c r="L16" s="41"/>
      <c r="M16" s="15"/>
      <c r="N16" s="52"/>
      <c r="O16" s="54"/>
      <c r="P16" s="55"/>
      <c r="Q16" s="14"/>
    </row>
    <row r="17" spans="1:17" x14ac:dyDescent="0.25">
      <c r="A17" s="8"/>
      <c r="B17" s="49"/>
      <c r="C17" s="39"/>
      <c r="D17" s="41"/>
      <c r="E17" s="79"/>
      <c r="F17" s="39"/>
      <c r="G17" s="40"/>
      <c r="H17" s="41"/>
      <c r="I17" s="39"/>
      <c r="J17" s="40"/>
      <c r="K17" s="40"/>
      <c r="L17" s="41"/>
      <c r="M17" s="15"/>
      <c r="N17" s="52"/>
      <c r="O17" s="54"/>
      <c r="P17" s="55"/>
      <c r="Q17" s="14"/>
    </row>
    <row r="18" spans="1:17" x14ac:dyDescent="0.25">
      <c r="A18" s="8"/>
      <c r="B18" s="49"/>
      <c r="C18" s="39"/>
      <c r="D18" s="41"/>
      <c r="E18" s="79"/>
      <c r="F18" s="39"/>
      <c r="G18" s="40"/>
      <c r="H18" s="41"/>
      <c r="I18" s="39"/>
      <c r="J18" s="40"/>
      <c r="K18" s="40"/>
      <c r="L18" s="41"/>
      <c r="M18" s="15"/>
      <c r="N18" s="52"/>
      <c r="O18" s="54"/>
      <c r="P18" s="55"/>
      <c r="Q18" s="14"/>
    </row>
    <row r="19" spans="1:17" x14ac:dyDescent="0.25">
      <c r="A19" s="8"/>
      <c r="B19" s="49"/>
      <c r="C19" s="39"/>
      <c r="D19" s="41"/>
      <c r="E19" s="79"/>
      <c r="F19" s="39"/>
      <c r="G19" s="40"/>
      <c r="H19" s="41"/>
      <c r="I19" s="39"/>
      <c r="J19" s="40"/>
      <c r="K19" s="40"/>
      <c r="L19" s="41"/>
      <c r="M19" s="15"/>
      <c r="N19" s="52"/>
      <c r="O19" s="54"/>
      <c r="P19" s="55"/>
      <c r="Q19" s="14"/>
    </row>
    <row r="20" spans="1:17" x14ac:dyDescent="0.25">
      <c r="A20" s="8"/>
      <c r="B20" s="49"/>
      <c r="C20" s="39"/>
      <c r="D20" s="41"/>
      <c r="E20" s="79"/>
      <c r="F20" s="39"/>
      <c r="G20" s="40"/>
      <c r="H20" s="41"/>
      <c r="I20" s="39"/>
      <c r="J20" s="40"/>
      <c r="K20" s="40"/>
      <c r="L20" s="41"/>
      <c r="M20" s="15"/>
      <c r="N20" s="52"/>
      <c r="O20" s="54"/>
      <c r="P20" s="55"/>
      <c r="Q20" s="14"/>
    </row>
    <row r="21" spans="1:17" x14ac:dyDescent="0.25">
      <c r="A21" s="8"/>
      <c r="B21" s="49"/>
      <c r="C21" s="39"/>
      <c r="D21" s="41"/>
      <c r="E21" s="79"/>
      <c r="F21" s="39"/>
      <c r="G21" s="40"/>
      <c r="H21" s="41"/>
      <c r="I21" s="39"/>
      <c r="J21" s="40"/>
      <c r="K21" s="40"/>
      <c r="L21" s="41"/>
      <c r="M21" s="15"/>
      <c r="N21" s="52"/>
      <c r="O21" s="54"/>
      <c r="P21" s="55"/>
      <c r="Q21" s="14"/>
    </row>
    <row r="22" spans="1:17" x14ac:dyDescent="0.25">
      <c r="A22" s="8"/>
      <c r="B22" s="49"/>
      <c r="C22" s="39"/>
      <c r="D22" s="41"/>
      <c r="E22" s="79"/>
      <c r="F22" s="39"/>
      <c r="G22" s="40"/>
      <c r="H22" s="41"/>
      <c r="I22" s="39"/>
      <c r="J22" s="40"/>
      <c r="K22" s="40"/>
      <c r="L22" s="41"/>
      <c r="M22" s="15"/>
      <c r="N22" s="52"/>
      <c r="O22" s="54"/>
      <c r="P22" s="55"/>
      <c r="Q22" s="14"/>
    </row>
    <row r="23" spans="1:17" x14ac:dyDescent="0.25">
      <c r="A23" s="8"/>
      <c r="B23" s="49"/>
      <c r="C23" s="39"/>
      <c r="D23" s="41"/>
      <c r="E23" s="79"/>
      <c r="F23" s="39"/>
      <c r="G23" s="40"/>
      <c r="H23" s="41"/>
      <c r="I23" s="39"/>
      <c r="J23" s="40"/>
      <c r="K23" s="40"/>
      <c r="L23" s="41"/>
      <c r="M23" s="15"/>
      <c r="N23" s="52"/>
      <c r="O23" s="54"/>
      <c r="P23" s="55"/>
      <c r="Q23" s="14"/>
    </row>
    <row r="24" spans="1:17" x14ac:dyDescent="0.25">
      <c r="A24" s="8"/>
      <c r="B24" s="49"/>
      <c r="C24" s="39"/>
      <c r="D24" s="41"/>
      <c r="E24" s="79"/>
      <c r="F24" s="39"/>
      <c r="G24" s="40"/>
      <c r="H24" s="41"/>
      <c r="I24" s="39"/>
      <c r="J24" s="40"/>
      <c r="K24" s="40"/>
      <c r="L24" s="41"/>
      <c r="M24" s="15"/>
      <c r="N24" s="52"/>
      <c r="O24" s="54"/>
      <c r="P24" s="55"/>
      <c r="Q24" s="14"/>
    </row>
    <row r="25" spans="1:17" x14ac:dyDescent="0.25">
      <c r="A25" s="8"/>
      <c r="B25" s="49"/>
      <c r="C25" s="39"/>
      <c r="D25" s="41"/>
      <c r="E25" s="79"/>
      <c r="F25" s="39"/>
      <c r="G25" s="40"/>
      <c r="H25" s="41"/>
      <c r="I25" s="39"/>
      <c r="J25" s="40"/>
      <c r="K25" s="40"/>
      <c r="L25" s="41"/>
      <c r="M25" s="15"/>
      <c r="N25" s="52"/>
      <c r="O25" s="54"/>
      <c r="P25" s="55"/>
      <c r="Q25" s="14"/>
    </row>
    <row r="26" spans="1:17" x14ac:dyDescent="0.25">
      <c r="A26" s="8"/>
      <c r="B26" s="49"/>
      <c r="C26" s="39"/>
      <c r="D26" s="41"/>
      <c r="E26" s="79"/>
      <c r="F26" s="39"/>
      <c r="G26" s="40"/>
      <c r="H26" s="41"/>
      <c r="I26" s="39"/>
      <c r="J26" s="40"/>
      <c r="K26" s="40"/>
      <c r="L26" s="41"/>
      <c r="M26" s="15"/>
      <c r="N26" s="52"/>
      <c r="O26" s="54"/>
      <c r="P26" s="55"/>
      <c r="Q26" s="14"/>
    </row>
    <row r="27" spans="1:17" x14ac:dyDescent="0.25">
      <c r="A27" s="8"/>
      <c r="B27" s="50"/>
      <c r="C27" s="42"/>
      <c r="D27" s="43"/>
      <c r="E27" s="77"/>
      <c r="F27" s="42"/>
      <c r="G27" s="25"/>
      <c r="H27" s="43"/>
      <c r="I27" s="42"/>
      <c r="J27" s="25"/>
      <c r="K27" s="25"/>
      <c r="L27" s="43"/>
      <c r="M27" s="15"/>
      <c r="N27" s="52"/>
      <c r="O27" s="54"/>
      <c r="P27" s="55"/>
      <c r="Q27" s="14"/>
    </row>
    <row r="28" spans="1:17" ht="3.75" customHeight="1" x14ac:dyDescent="0.25">
      <c r="A28" s="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2"/>
      <c r="O28" s="54"/>
      <c r="P28" s="55"/>
      <c r="Q28" s="14"/>
    </row>
    <row r="29" spans="1:17" x14ac:dyDescent="0.25">
      <c r="A29" s="8"/>
      <c r="B29" s="37"/>
      <c r="C29" s="24"/>
      <c r="D29" s="24"/>
      <c r="E29" s="38"/>
      <c r="F29" s="44" t="s">
        <v>27</v>
      </c>
      <c r="G29" s="30"/>
      <c r="H29" s="31"/>
      <c r="I29" s="44" t="s">
        <v>28</v>
      </c>
      <c r="J29" s="30"/>
      <c r="K29" s="30"/>
      <c r="L29" s="31"/>
      <c r="M29" s="15"/>
      <c r="N29" s="52"/>
      <c r="O29" s="54"/>
      <c r="P29" s="55"/>
      <c r="Q29" s="14"/>
    </row>
    <row r="30" spans="1:17" x14ac:dyDescent="0.25">
      <c r="A30" s="8"/>
      <c r="B30" s="39"/>
      <c r="C30" s="40"/>
      <c r="D30" s="40"/>
      <c r="E30" s="41"/>
      <c r="F30" s="92">
        <f>SUM($F$10:$H$27)</f>
        <v>3150</v>
      </c>
      <c r="G30" s="93"/>
      <c r="H30" s="94"/>
      <c r="I30" s="92">
        <f>SUM($I$11:$L$27)</f>
        <v>767.02499999999998</v>
      </c>
      <c r="J30" s="93"/>
      <c r="K30" s="93"/>
      <c r="L30" s="94"/>
      <c r="M30" s="15"/>
      <c r="N30" s="52"/>
      <c r="O30" s="54"/>
      <c r="P30" s="55"/>
      <c r="Q30" s="14"/>
    </row>
    <row r="31" spans="1:17" ht="3.75" customHeight="1" x14ac:dyDescent="0.25">
      <c r="A31" s="8"/>
      <c r="B31" s="39"/>
      <c r="C31" s="40"/>
      <c r="D31" s="40"/>
      <c r="E31" s="41"/>
      <c r="F31" s="20"/>
      <c r="G31" s="21"/>
      <c r="H31" s="21"/>
      <c r="I31" s="21"/>
      <c r="J31" s="21"/>
      <c r="K31" s="21"/>
      <c r="L31" s="21"/>
      <c r="M31" s="15"/>
      <c r="N31" s="52"/>
      <c r="O31" s="54"/>
      <c r="P31" s="55"/>
      <c r="Q31" s="14"/>
    </row>
    <row r="32" spans="1:17" x14ac:dyDescent="0.25">
      <c r="A32" s="8"/>
      <c r="B32" s="39"/>
      <c r="C32" s="40"/>
      <c r="D32" s="40"/>
      <c r="E32" s="41"/>
      <c r="F32" s="44" t="s">
        <v>26</v>
      </c>
      <c r="G32" s="30"/>
      <c r="H32" s="31"/>
      <c r="I32" s="89">
        <f>$F$30-$I$30</f>
        <v>2382.9749999999999</v>
      </c>
      <c r="J32" s="90"/>
      <c r="K32" s="90"/>
      <c r="L32" s="91"/>
      <c r="M32" s="15"/>
      <c r="N32" s="52"/>
      <c r="O32" s="54"/>
      <c r="P32" s="55"/>
      <c r="Q32" s="14"/>
    </row>
    <row r="33" spans="1:17" x14ac:dyDescent="0.25">
      <c r="A33" s="8"/>
      <c r="B33" s="42"/>
      <c r="C33" s="25"/>
      <c r="D33" s="25"/>
      <c r="E33" s="43"/>
      <c r="F33" s="45"/>
      <c r="G33" s="46"/>
      <c r="H33" s="47"/>
      <c r="I33" s="92"/>
      <c r="J33" s="93"/>
      <c r="K33" s="93"/>
      <c r="L33" s="94"/>
      <c r="M33" s="15"/>
      <c r="N33" s="52"/>
      <c r="O33" s="54"/>
      <c r="P33" s="55"/>
      <c r="Q33" s="14"/>
    </row>
    <row r="34" spans="1:17" ht="3.75" customHeight="1" x14ac:dyDescent="0.25">
      <c r="A34" s="8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2"/>
      <c r="O34" s="54"/>
      <c r="P34" s="55"/>
      <c r="Q34" s="14"/>
    </row>
    <row r="35" spans="1:17" x14ac:dyDescent="0.25">
      <c r="A35" s="8"/>
      <c r="B35" s="44" t="s">
        <v>20</v>
      </c>
      <c r="C35" s="31"/>
      <c r="D35" s="29" t="s">
        <v>21</v>
      </c>
      <c r="E35" s="44" t="s">
        <v>22</v>
      </c>
      <c r="F35" s="31"/>
      <c r="G35" s="44" t="s">
        <v>23</v>
      </c>
      <c r="H35" s="30"/>
      <c r="I35" s="44" t="s">
        <v>24</v>
      </c>
      <c r="J35" s="31"/>
      <c r="K35" s="30" t="s">
        <v>25</v>
      </c>
      <c r="L35" s="31"/>
      <c r="M35" s="15"/>
      <c r="N35" s="52"/>
      <c r="O35" s="54"/>
      <c r="P35" s="55"/>
      <c r="Q35" s="14"/>
    </row>
    <row r="36" spans="1:17" x14ac:dyDescent="0.25">
      <c r="A36" s="8"/>
      <c r="B36" s="92">
        <f>F10</f>
        <v>3150</v>
      </c>
      <c r="C36" s="43"/>
      <c r="D36" s="95">
        <f>F10</f>
        <v>3150</v>
      </c>
      <c r="E36" s="92">
        <f>F30</f>
        <v>3150</v>
      </c>
      <c r="F36" s="43"/>
      <c r="G36" s="92">
        <f>E36*8%</f>
        <v>252</v>
      </c>
      <c r="H36" s="25"/>
      <c r="I36" s="92">
        <f>F10-I11</f>
        <v>2803.5</v>
      </c>
      <c r="J36" s="43"/>
      <c r="K36" s="25">
        <f>VLOOKUP($B$36,'Referências e Descontos'!$I$4:$L$8,4,1)</f>
        <v>2</v>
      </c>
      <c r="L36" s="43"/>
      <c r="M36" s="15"/>
      <c r="N36" s="53"/>
      <c r="O36" s="1"/>
      <c r="P36" s="2"/>
      <c r="Q36" s="14"/>
    </row>
    <row r="37" spans="1:17" ht="18" customHeight="1" x14ac:dyDescent="0.25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3"/>
    </row>
  </sheetData>
  <mergeCells count="97">
    <mergeCell ref="O3:O35"/>
    <mergeCell ref="P3:P35"/>
    <mergeCell ref="I36:J36"/>
    <mergeCell ref="K35:L35"/>
    <mergeCell ref="K36:L36"/>
    <mergeCell ref="N3:N35"/>
    <mergeCell ref="B36:C36"/>
    <mergeCell ref="E35:F35"/>
    <mergeCell ref="E36:F36"/>
    <mergeCell ref="G35:H35"/>
    <mergeCell ref="G36:H36"/>
    <mergeCell ref="F32:H33"/>
    <mergeCell ref="I32:L33"/>
    <mergeCell ref="F31:L31"/>
    <mergeCell ref="B29:E33"/>
    <mergeCell ref="B35:C35"/>
    <mergeCell ref="I35:J35"/>
    <mergeCell ref="I25:L25"/>
    <mergeCell ref="I26:L26"/>
    <mergeCell ref="I27:L27"/>
    <mergeCell ref="F29:H29"/>
    <mergeCell ref="F30:H30"/>
    <mergeCell ref="I29:L29"/>
    <mergeCell ref="I30:L30"/>
    <mergeCell ref="I20:L20"/>
    <mergeCell ref="I21:L21"/>
    <mergeCell ref="I22:L22"/>
    <mergeCell ref="I23:L23"/>
    <mergeCell ref="I24:L24"/>
    <mergeCell ref="I15:L15"/>
    <mergeCell ref="I16:L16"/>
    <mergeCell ref="I17:L17"/>
    <mergeCell ref="I18:L18"/>
    <mergeCell ref="I19:L19"/>
    <mergeCell ref="I10:L10"/>
    <mergeCell ref="I11:L11"/>
    <mergeCell ref="I12:L12"/>
    <mergeCell ref="I13:L13"/>
    <mergeCell ref="I14:L14"/>
    <mergeCell ref="F23:H23"/>
    <mergeCell ref="F24:H24"/>
    <mergeCell ref="F25:H25"/>
    <mergeCell ref="F26:H26"/>
    <mergeCell ref="F27:H27"/>
    <mergeCell ref="C25:D25"/>
    <mergeCell ref="C26:D26"/>
    <mergeCell ref="C27:D27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5:D5"/>
    <mergeCell ref="C6:D6"/>
    <mergeCell ref="K5:L5"/>
    <mergeCell ref="F6:L6"/>
    <mergeCell ref="C8:D8"/>
    <mergeCell ref="F8:H8"/>
    <mergeCell ref="I8:L8"/>
    <mergeCell ref="A1:Q1"/>
    <mergeCell ref="A2:A36"/>
    <mergeCell ref="A37:Q37"/>
    <mergeCell ref="Q2:Q36"/>
    <mergeCell ref="M2:M36"/>
    <mergeCell ref="B4:L4"/>
    <mergeCell ref="B7:L7"/>
    <mergeCell ref="B9:L9"/>
    <mergeCell ref="B28:L28"/>
    <mergeCell ref="B34:L34"/>
    <mergeCell ref="C2:F2"/>
    <mergeCell ref="C3:F3"/>
    <mergeCell ref="G2:L2"/>
    <mergeCell ref="H3:I3"/>
    <mergeCell ref="K3:L3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2B850E3-C34D-46EC-96C0-99ECC9B8EB80}">
          <x14:formula1>
            <xm:f>Calendário!$B$2:$B$13</xm:f>
          </x14:formula1>
          <xm:sqref>H3:I3</xm:sqref>
        </x14:dataValidation>
        <x14:dataValidation type="list" allowBlank="1" showInputMessage="1" showErrorMessage="1" xr:uid="{A5F0AE3B-8384-4C79-BFB1-205AF31E9B26}">
          <x14:formula1>
            <xm:f>Calendário!$A$2:$A$13</xm:f>
          </x14:formula1>
          <xm:sqref>K3:L3</xm:sqref>
        </x14:dataValidation>
        <x14:dataValidation type="list" allowBlank="1" showInputMessage="1" showErrorMessage="1" xr:uid="{E29830C5-E26C-4324-B66B-61F8646AD82F}">
          <x14:formula1>
            <xm:f>Funcionários!$A$2:$A$19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5766-0DF9-43F5-9E5B-81631E9415C5}">
  <dimension ref="A1:B13"/>
  <sheetViews>
    <sheetView workbookViewId="0">
      <selection activeCell="D14" sqref="D14"/>
    </sheetView>
  </sheetViews>
  <sheetFormatPr defaultRowHeight="15" x14ac:dyDescent="0.25"/>
  <cols>
    <col min="2" max="2" width="11.5703125" bestFit="1" customWidth="1"/>
  </cols>
  <sheetData>
    <row r="1" spans="1:2" x14ac:dyDescent="0.25">
      <c r="A1" s="57" t="s">
        <v>32</v>
      </c>
      <c r="B1" s="57" t="s">
        <v>33</v>
      </c>
    </row>
    <row r="2" spans="1:2" x14ac:dyDescent="0.25">
      <c r="A2" s="59">
        <v>2019</v>
      </c>
      <c r="B2" s="60" t="s">
        <v>34</v>
      </c>
    </row>
    <row r="3" spans="1:2" x14ac:dyDescent="0.25">
      <c r="A3" s="59">
        <v>2020</v>
      </c>
      <c r="B3" s="60" t="s">
        <v>35</v>
      </c>
    </row>
    <row r="4" spans="1:2" x14ac:dyDescent="0.25">
      <c r="A4" s="59">
        <v>2021</v>
      </c>
      <c r="B4" s="60" t="s">
        <v>36</v>
      </c>
    </row>
    <row r="5" spans="1:2" x14ac:dyDescent="0.25">
      <c r="A5" s="59">
        <v>2022</v>
      </c>
      <c r="B5" s="60" t="s">
        <v>37</v>
      </c>
    </row>
    <row r="6" spans="1:2" x14ac:dyDescent="0.25">
      <c r="A6" s="59">
        <v>2023</v>
      </c>
      <c r="B6" s="60" t="s">
        <v>38</v>
      </c>
    </row>
    <row r="7" spans="1:2" x14ac:dyDescent="0.25">
      <c r="A7" s="59">
        <v>2024</v>
      </c>
      <c r="B7" s="60" t="s">
        <v>39</v>
      </c>
    </row>
    <row r="8" spans="1:2" x14ac:dyDescent="0.25">
      <c r="A8" s="59">
        <v>2025</v>
      </c>
      <c r="B8" s="60" t="s">
        <v>40</v>
      </c>
    </row>
    <row r="9" spans="1:2" x14ac:dyDescent="0.25">
      <c r="A9" s="59">
        <v>2026</v>
      </c>
      <c r="B9" s="60" t="s">
        <v>41</v>
      </c>
    </row>
    <row r="10" spans="1:2" x14ac:dyDescent="0.25">
      <c r="A10" s="59">
        <v>2027</v>
      </c>
      <c r="B10" s="60" t="s">
        <v>42</v>
      </c>
    </row>
    <row r="11" spans="1:2" x14ac:dyDescent="0.25">
      <c r="A11" s="59">
        <v>2028</v>
      </c>
      <c r="B11" s="60" t="s">
        <v>43</v>
      </c>
    </row>
    <row r="12" spans="1:2" x14ac:dyDescent="0.25">
      <c r="A12" s="59">
        <v>2029</v>
      </c>
      <c r="B12" s="60" t="s">
        <v>44</v>
      </c>
    </row>
    <row r="13" spans="1:2" x14ac:dyDescent="0.25">
      <c r="A13" s="59">
        <v>2030</v>
      </c>
      <c r="B13" s="60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7762-0D5A-451C-8D3E-8E574C36E2B6}">
  <dimension ref="A1:C19"/>
  <sheetViews>
    <sheetView workbookViewId="0">
      <selection activeCell="A22" sqref="A22"/>
    </sheetView>
  </sheetViews>
  <sheetFormatPr defaultRowHeight="15" x14ac:dyDescent="0.25"/>
  <cols>
    <col min="1" max="1" width="18.28515625" customWidth="1"/>
    <col min="2" max="2" width="45.7109375" customWidth="1"/>
    <col min="3" max="3" width="18.28515625" customWidth="1"/>
  </cols>
  <sheetData>
    <row r="1" spans="1:3" ht="30" x14ac:dyDescent="0.25">
      <c r="A1" s="61" t="s">
        <v>46</v>
      </c>
      <c r="B1" s="57" t="s">
        <v>47</v>
      </c>
      <c r="C1" s="57" t="s">
        <v>8</v>
      </c>
    </row>
    <row r="2" spans="1:3" x14ac:dyDescent="0.25">
      <c r="A2" s="62">
        <v>105489</v>
      </c>
      <c r="B2" s="60" t="s">
        <v>48</v>
      </c>
      <c r="C2" s="63">
        <v>411010</v>
      </c>
    </row>
    <row r="3" spans="1:3" x14ac:dyDescent="0.25">
      <c r="A3" s="62">
        <v>615483</v>
      </c>
      <c r="B3" s="58" t="s">
        <v>49</v>
      </c>
      <c r="C3" s="63">
        <v>142320</v>
      </c>
    </row>
    <row r="4" spans="1:3" x14ac:dyDescent="0.25">
      <c r="A4" s="62">
        <v>552487</v>
      </c>
      <c r="B4" s="58" t="s">
        <v>50</v>
      </c>
      <c r="C4" s="63">
        <v>142335</v>
      </c>
    </row>
    <row r="5" spans="1:3" x14ac:dyDescent="0.25">
      <c r="A5" s="62">
        <v>747254</v>
      </c>
      <c r="B5" s="58" t="s">
        <v>51</v>
      </c>
      <c r="C5" s="63">
        <v>422315</v>
      </c>
    </row>
    <row r="6" spans="1:3" x14ac:dyDescent="0.25">
      <c r="A6" s="62">
        <v>965487</v>
      </c>
      <c r="B6" s="58" t="s">
        <v>52</v>
      </c>
      <c r="C6" s="63">
        <v>313215</v>
      </c>
    </row>
    <row r="7" spans="1:3" x14ac:dyDescent="0.25">
      <c r="A7" s="62">
        <v>201548</v>
      </c>
      <c r="B7" s="58" t="s">
        <v>53</v>
      </c>
      <c r="C7" s="63">
        <v>411010</v>
      </c>
    </row>
    <row r="8" spans="1:3" x14ac:dyDescent="0.25">
      <c r="A8" s="62">
        <v>400457</v>
      </c>
      <c r="B8" s="58" t="s">
        <v>54</v>
      </c>
      <c r="C8" s="63">
        <v>422315</v>
      </c>
    </row>
    <row r="9" spans="1:3" x14ac:dyDescent="0.25">
      <c r="A9" s="62">
        <v>901355</v>
      </c>
      <c r="B9" s="58" t="s">
        <v>55</v>
      </c>
      <c r="C9" s="63">
        <v>318305</v>
      </c>
    </row>
    <row r="10" spans="1:3" x14ac:dyDescent="0.25">
      <c r="A10" s="62">
        <v>256703</v>
      </c>
      <c r="B10" s="58" t="s">
        <v>56</v>
      </c>
      <c r="C10" s="63">
        <v>142105</v>
      </c>
    </row>
    <row r="11" spans="1:3" x14ac:dyDescent="0.25">
      <c r="A11" s="62">
        <v>611825</v>
      </c>
      <c r="B11" s="58" t="s">
        <v>57</v>
      </c>
      <c r="C11" s="63">
        <v>411010</v>
      </c>
    </row>
    <row r="12" spans="1:3" x14ac:dyDescent="0.25">
      <c r="A12" s="62">
        <v>316487</v>
      </c>
      <c r="B12" s="58" t="s">
        <v>58</v>
      </c>
      <c r="C12" s="63">
        <v>142335</v>
      </c>
    </row>
    <row r="13" spans="1:3" x14ac:dyDescent="0.25">
      <c r="A13" s="62">
        <v>501224</v>
      </c>
      <c r="B13" s="58" t="s">
        <v>59</v>
      </c>
      <c r="C13" s="63">
        <v>422315</v>
      </c>
    </row>
    <row r="14" spans="1:3" x14ac:dyDescent="0.25">
      <c r="A14" s="62">
        <v>412012</v>
      </c>
      <c r="B14" s="58" t="s">
        <v>60</v>
      </c>
      <c r="C14" s="63">
        <v>318305</v>
      </c>
    </row>
    <row r="15" spans="1:3" x14ac:dyDescent="0.25">
      <c r="A15" s="62">
        <v>789645</v>
      </c>
      <c r="B15" s="58" t="s">
        <v>61</v>
      </c>
      <c r="C15" s="63">
        <v>411010</v>
      </c>
    </row>
    <row r="16" spans="1:3" x14ac:dyDescent="0.25">
      <c r="A16" s="62">
        <v>915357</v>
      </c>
      <c r="B16" s="58" t="s">
        <v>62</v>
      </c>
      <c r="C16" s="63">
        <v>422315</v>
      </c>
    </row>
    <row r="17" spans="1:3" x14ac:dyDescent="0.25">
      <c r="A17" s="62">
        <v>258963</v>
      </c>
      <c r="B17" s="58" t="s">
        <v>63</v>
      </c>
      <c r="C17" s="63">
        <v>422315</v>
      </c>
    </row>
    <row r="18" spans="1:3" x14ac:dyDescent="0.25">
      <c r="A18" s="62">
        <v>346778</v>
      </c>
      <c r="B18" s="58" t="s">
        <v>64</v>
      </c>
      <c r="C18" s="63">
        <v>411010</v>
      </c>
    </row>
    <row r="19" spans="1:3" x14ac:dyDescent="0.25">
      <c r="A19" s="62">
        <v>221445</v>
      </c>
      <c r="B19" s="58" t="s">
        <v>65</v>
      </c>
      <c r="C19" s="63">
        <v>123105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CB0F-0A5A-4892-A47F-C8BDCCF4D233}">
  <dimension ref="A1:C11"/>
  <sheetViews>
    <sheetView workbookViewId="0">
      <selection activeCell="A12" sqref="A12"/>
    </sheetView>
  </sheetViews>
  <sheetFormatPr defaultRowHeight="15" x14ac:dyDescent="0.25"/>
  <cols>
    <col min="1" max="1" width="18.28515625" style="64" customWidth="1"/>
    <col min="2" max="2" width="45.7109375" style="65" customWidth="1"/>
    <col min="3" max="3" width="18.28515625" style="66" customWidth="1"/>
  </cols>
  <sheetData>
    <row r="1" spans="1:3" x14ac:dyDescent="0.25">
      <c r="A1" s="68" t="s">
        <v>8</v>
      </c>
      <c r="B1" s="57" t="s">
        <v>66</v>
      </c>
      <c r="C1" s="69" t="s">
        <v>67</v>
      </c>
    </row>
    <row r="2" spans="1:3" x14ac:dyDescent="0.25">
      <c r="A2" s="63">
        <v>411010</v>
      </c>
      <c r="B2" s="60" t="s">
        <v>68</v>
      </c>
      <c r="C2" s="67">
        <v>2567</v>
      </c>
    </row>
    <row r="3" spans="1:3" x14ac:dyDescent="0.25">
      <c r="A3" s="63">
        <v>142320</v>
      </c>
      <c r="B3" s="60" t="s">
        <v>71</v>
      </c>
      <c r="C3" s="67">
        <v>3200</v>
      </c>
    </row>
    <row r="4" spans="1:3" x14ac:dyDescent="0.25">
      <c r="A4" s="63">
        <v>142335</v>
      </c>
      <c r="B4" s="60" t="s">
        <v>72</v>
      </c>
      <c r="C4" s="67">
        <v>3150</v>
      </c>
    </row>
    <row r="5" spans="1:3" x14ac:dyDescent="0.25">
      <c r="A5" s="63">
        <v>422315</v>
      </c>
      <c r="B5" s="60" t="s">
        <v>73</v>
      </c>
      <c r="C5" s="67">
        <v>1490</v>
      </c>
    </row>
    <row r="6" spans="1:3" x14ac:dyDescent="0.25">
      <c r="A6" s="63">
        <v>313215</v>
      </c>
      <c r="B6" s="60" t="s">
        <v>74</v>
      </c>
      <c r="C6" s="67">
        <v>1800</v>
      </c>
    </row>
    <row r="7" spans="1:3" x14ac:dyDescent="0.25">
      <c r="A7" s="63">
        <v>411050</v>
      </c>
      <c r="B7" s="60" t="s">
        <v>75</v>
      </c>
      <c r="C7" s="67">
        <v>2200</v>
      </c>
    </row>
    <row r="8" spans="1:3" x14ac:dyDescent="0.25">
      <c r="A8" s="63">
        <v>422345</v>
      </c>
      <c r="B8" s="60" t="s">
        <v>70</v>
      </c>
      <c r="C8" s="67">
        <v>3290</v>
      </c>
    </row>
    <row r="9" spans="1:3" x14ac:dyDescent="0.25">
      <c r="A9" s="63">
        <v>318305</v>
      </c>
      <c r="B9" s="60" t="s">
        <v>76</v>
      </c>
      <c r="C9" s="67">
        <v>4570</v>
      </c>
    </row>
    <row r="10" spans="1:3" x14ac:dyDescent="0.25">
      <c r="A10" s="63">
        <v>142105</v>
      </c>
      <c r="B10" s="60" t="s">
        <v>77</v>
      </c>
      <c r="C10" s="67">
        <v>1320</v>
      </c>
    </row>
    <row r="11" spans="1:3" x14ac:dyDescent="0.25">
      <c r="A11" s="63">
        <v>123105</v>
      </c>
      <c r="B11" s="60" t="s">
        <v>69</v>
      </c>
      <c r="C11" s="67">
        <v>11640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7AB6-4503-40F8-8121-DFC4EE223C61}">
  <dimension ref="A1:L8"/>
  <sheetViews>
    <sheetView workbookViewId="0">
      <selection activeCell="B5" sqref="B5"/>
    </sheetView>
  </sheetViews>
  <sheetFormatPr defaultRowHeight="15" x14ac:dyDescent="0.25"/>
  <cols>
    <col min="2" max="2" width="9.42578125" bestFit="1" customWidth="1"/>
    <col min="3" max="3" width="10.5703125" bestFit="1" customWidth="1"/>
    <col min="4" max="4" width="3.42578125" customWidth="1"/>
    <col min="5" max="6" width="18.28515625" customWidth="1"/>
    <col min="7" max="7" width="11" customWidth="1"/>
    <col min="8" max="8" width="3.42578125" customWidth="1"/>
    <col min="9" max="10" width="18.28515625" customWidth="1"/>
  </cols>
  <sheetData>
    <row r="1" spans="1:12" x14ac:dyDescent="0.25">
      <c r="A1" s="70" t="s">
        <v>78</v>
      </c>
      <c r="B1" s="70"/>
      <c r="C1" s="70"/>
      <c r="E1" s="70" t="s">
        <v>79</v>
      </c>
      <c r="F1" s="70"/>
      <c r="G1" s="70"/>
      <c r="I1" s="70" t="s">
        <v>80</v>
      </c>
      <c r="J1" s="70"/>
      <c r="K1" s="70"/>
      <c r="L1" s="70"/>
    </row>
    <row r="2" spans="1:12" x14ac:dyDescent="0.25">
      <c r="A2" s="59" t="s">
        <v>6</v>
      </c>
      <c r="B2" s="59" t="s">
        <v>18</v>
      </c>
      <c r="C2" s="59" t="s">
        <v>15</v>
      </c>
      <c r="E2" s="18" t="s">
        <v>85</v>
      </c>
      <c r="F2" s="19"/>
      <c r="G2" s="73" t="s">
        <v>86</v>
      </c>
      <c r="I2" s="18" t="s">
        <v>82</v>
      </c>
      <c r="J2" s="19"/>
      <c r="K2" s="71" t="s">
        <v>81</v>
      </c>
      <c r="L2" s="71" t="s">
        <v>25</v>
      </c>
    </row>
    <row r="3" spans="1:12" x14ac:dyDescent="0.25">
      <c r="A3" s="59">
        <v>101</v>
      </c>
      <c r="B3" s="59" t="s">
        <v>87</v>
      </c>
      <c r="C3" s="59" t="s">
        <v>90</v>
      </c>
      <c r="E3" s="59" t="s">
        <v>83</v>
      </c>
      <c r="F3" s="59" t="s">
        <v>84</v>
      </c>
      <c r="G3" s="74"/>
      <c r="I3" s="59" t="s">
        <v>83</v>
      </c>
      <c r="J3" s="59" t="s">
        <v>84</v>
      </c>
      <c r="K3" s="72"/>
      <c r="L3" s="72"/>
    </row>
    <row r="4" spans="1:12" x14ac:dyDescent="0.25">
      <c r="A4" s="59">
        <v>973</v>
      </c>
      <c r="B4" s="59" t="s">
        <v>88</v>
      </c>
      <c r="E4" s="67">
        <v>0</v>
      </c>
      <c r="F4" s="67">
        <v>1751.81</v>
      </c>
      <c r="G4" s="75">
        <v>0.08</v>
      </c>
      <c r="I4" s="67">
        <v>0</v>
      </c>
      <c r="J4" s="67">
        <v>1903.98</v>
      </c>
      <c r="K4" s="76">
        <v>0</v>
      </c>
      <c r="L4" s="59">
        <v>0</v>
      </c>
    </row>
    <row r="5" spans="1:12" x14ac:dyDescent="0.25">
      <c r="A5" s="59">
        <v>987</v>
      </c>
      <c r="B5" s="59" t="s">
        <v>89</v>
      </c>
      <c r="E5" s="67">
        <v>1751.82</v>
      </c>
      <c r="F5" s="67">
        <v>2919.72</v>
      </c>
      <c r="G5" s="75">
        <v>0.09</v>
      </c>
      <c r="I5" s="67">
        <v>1903.99</v>
      </c>
      <c r="J5" s="67">
        <v>2826.65</v>
      </c>
      <c r="K5" s="76">
        <v>7.4999999999999997E-2</v>
      </c>
      <c r="L5" s="59">
        <v>1</v>
      </c>
    </row>
    <row r="6" spans="1:12" x14ac:dyDescent="0.25">
      <c r="E6" s="67">
        <v>2919.73</v>
      </c>
      <c r="F6" s="67">
        <v>5839.45</v>
      </c>
      <c r="G6" s="75">
        <v>0.11</v>
      </c>
      <c r="I6" s="67">
        <v>2826.66</v>
      </c>
      <c r="J6" s="67">
        <v>3751.05</v>
      </c>
      <c r="K6" s="76">
        <v>0.15</v>
      </c>
      <c r="L6" s="59">
        <v>2</v>
      </c>
    </row>
    <row r="7" spans="1:12" x14ac:dyDescent="0.25">
      <c r="I7" s="67">
        <v>3751.06</v>
      </c>
      <c r="J7" s="67">
        <v>4664.68</v>
      </c>
      <c r="K7" s="76">
        <v>0.22500000000000001</v>
      </c>
      <c r="L7" s="59">
        <v>3</v>
      </c>
    </row>
    <row r="8" spans="1:12" x14ac:dyDescent="0.25">
      <c r="I8" s="67">
        <v>4664.6899999999996</v>
      </c>
      <c r="J8" s="67"/>
      <c r="K8" s="76">
        <v>0.27500000000000002</v>
      </c>
      <c r="L8" s="59">
        <v>4</v>
      </c>
    </row>
  </sheetData>
  <mergeCells count="8">
    <mergeCell ref="A1:C1"/>
    <mergeCell ref="E1:G1"/>
    <mergeCell ref="I1:L1"/>
    <mergeCell ref="G2:G3"/>
    <mergeCell ref="E2:F2"/>
    <mergeCell ref="K2:K3"/>
    <mergeCell ref="L2:L3"/>
    <mergeCell ref="I2:J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Holerite</vt:lpstr>
      <vt:lpstr>Calendário</vt:lpstr>
      <vt:lpstr>Funcionários</vt:lpstr>
      <vt:lpstr>Cargos e Vencimentos</vt:lpstr>
      <vt:lpstr>Referências e Descontos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2026-03-03T00:38:17Z</dcterms:created>
  <dcterms:modified xsi:type="dcterms:W3CDTF">2026-03-04T00:27:49Z</dcterms:modified>
</cp:coreProperties>
</file>