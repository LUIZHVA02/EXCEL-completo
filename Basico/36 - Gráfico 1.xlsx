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AA5EA529-A3B7-4268-8EA3-EEA78D33810D}" xr6:coauthVersionLast="36" xr6:coauthVersionMax="36" xr10:uidLastSave="{00000000-0000-0000-0000-000000000000}"/>
  <bookViews>
    <workbookView xWindow="0" yWindow="0" windowWidth="15360" windowHeight="7425" firstSheet="30" activeTab="34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  <sheet name="32-Procv Aproximado 1" sheetId="33" r:id="rId31"/>
    <sheet name="33-Procv Aproximado 2" sheetId="34" r:id="rId32"/>
    <sheet name="34-Proch Exato 1" sheetId="35" r:id="rId33"/>
    <sheet name="35-Proch Exato 2" sheetId="37" r:id="rId34"/>
    <sheet name="36-Grafico 1" sheetId="38" r:id="rId3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7" l="1"/>
  <c r="J4" i="37"/>
  <c r="J5" i="37"/>
  <c r="I6" i="35" l="1"/>
  <c r="I5" i="35"/>
  <c r="I4" i="35"/>
  <c r="I3" i="35"/>
  <c r="D4" i="34"/>
  <c r="D5" i="34"/>
  <c r="D6" i="34"/>
  <c r="D7" i="34"/>
  <c r="D8" i="34"/>
  <c r="D9" i="34"/>
  <c r="D3" i="34"/>
  <c r="C4" i="34"/>
  <c r="C5" i="34"/>
  <c r="C6" i="34"/>
  <c r="C7" i="34"/>
  <c r="C8" i="34"/>
  <c r="C9" i="34"/>
  <c r="C3" i="34"/>
  <c r="F4" i="33"/>
  <c r="F5" i="33"/>
  <c r="F6" i="33"/>
  <c r="F7" i="33"/>
  <c r="F8" i="33"/>
  <c r="F9" i="33"/>
  <c r="F10" i="33"/>
  <c r="F11" i="33"/>
  <c r="F12" i="33"/>
  <c r="F13" i="33"/>
  <c r="F3" i="33"/>
  <c r="B17" i="32"/>
  <c r="E4" i="33"/>
  <c r="E5" i="33"/>
  <c r="E6" i="33"/>
  <c r="E7" i="33"/>
  <c r="E8" i="33"/>
  <c r="E9" i="33"/>
  <c r="E10" i="33"/>
  <c r="E11" i="33"/>
  <c r="E12" i="33"/>
  <c r="E13" i="33"/>
  <c r="E3" i="33"/>
  <c r="B23" i="32" l="1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<sst xmlns="http://schemas.openxmlformats.org/spreadsheetml/2006/main" count="732" uniqueCount="482">
  <si>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</si>
  <si>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</si>
  <si>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</si>
  <si>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</si>
  <si>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</si>
  <si>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</si>
  <si>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</si>
  <si>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</si>
  <si>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</si>
  <si>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</si>
  <si>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</si>
  <si>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</si>
  <si>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</si>
  <si>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</si>
  <si>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</si>
  <si>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</si>
  <si>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</si>
  <si>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</si>
  <si>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</si>
  <si>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</si>
  <si>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</si>
  <si>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</si>
  <si>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</si>
  <si>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</si>
  <si>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</si>
  <si>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</si>
  <si>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</si>
  <si>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</si>
  <si>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</si>
  <si>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</si>
  <si>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</si>
  <si>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</si>
  <si>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</si>
  <si>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</si>
  <si>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</si>
  <si>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</si>
  <si>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</si>
  <si>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</si>
  <si>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</si>
  <si>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</si>
  <si>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</si>
  <si>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</si>
  <si>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</si>
  <si>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</si>
  <si>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</si>
  <si>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</si>
  <si>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</si>
  <si>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</si>
  <si>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</si>
  <si>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</si>
  <si>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</si>
  <si>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</si>
  <si>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</si>
  <si>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</si>
  <si>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</si>
  <si>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</si>
  <si>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</si>
  <si>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</si>
  <si>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</si>
  <si>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</si>
  <si>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</si>
  <si>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</si>
  <si>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</si>
  <si>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</si>
  <si>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</si>
  <si>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</si>
  <si>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</si>
  <si>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</si>
  <si>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</si>
  <si>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</si>
  <si>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</si>
  <si>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</si>
  <si>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</si>
  <si>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</si>
  <si>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</si>
  <si>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</si>
  <si>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</si>
  <si>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</si>
  <si>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</si>
  <si>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</si>
  <si>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</si>
  <si>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</si>
  <si>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</si>
  <si>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</si>
  <si>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</si>
  <si>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</si>
  <si>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</si>
  <si>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</si>
  <si>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</si>
  <si>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</si>
  <si>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</si>
  <si>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</si>
  <si>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</si>
  <si>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</si>
  <si>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</si>
  <si>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</si>
  <si>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</si>
  <si>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</si>
  <si>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</si>
  <si>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</si>
  <si>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</si>
  <si>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</si>
  <si>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</si>
  <si>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</si>
  <si>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</si>
  <si>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</si>
  <si>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</si>
  <si>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</si>
  <si>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</si>
  <si>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</si>
  <si>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</si>
  <si>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</si>
  <si>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</si>
  <si>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</si>
  <si>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</si>
  <si>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</si>
  <si>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</si>
  <si>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</si>
  <si>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</si>
  <si>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</si>
  <si>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</si>
  <si>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</si>
  <si>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</si>
  <si>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</si>
  <si>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</si>
  <si>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</si>
  <si>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</si>
  <si>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</si>
  <si>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</si>
  <si>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</si>
  <si>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</si>
  <si>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</si>
  <si>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</si>
  <si>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</si>
  <si>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</si>
  <si>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</si>
  <si>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</si>
  <si>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</si>
  <si>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</si>
  <si>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</si>
  <si>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</si>
  <si>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</si>
  <si>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</si>
  <si>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</si>
  <si>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</si>
  <si>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</si>
  <si>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</si>
  <si>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</si>
  <si>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</si>
  <si>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</si>
  <si>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</si>
  <si>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</si>
  <si>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</si>
  <si>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</si>
  <si>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</si>
  <si>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</si>
  <si>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</si>
  <si>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</si>
  <si>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</si>
  <si>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</si>
  <si>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</si>
  <si>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</si>
  <si>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</si>
  <si>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</si>
  <si>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</si>
  <si>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</si>
  <si>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</si>
  <si>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</si>
  <si>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</si>
  <si>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</si>
  <si>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</si>
  <si>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</si>
  <si>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</si>
  <si>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</si>
  <si>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</si>
  <si>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</si>
  <si>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</si>
  <si>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</si>
  <si>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</si>
  <si>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</si>
  <si>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</si>
  <si>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</si>
  <si>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</si>
  <si>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</si>
  <si>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</si>
  <si>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</si>
  <si>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</si>
  <si>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</si>
  <si>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</si>
  <si>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</si>
  <si>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</si>
  <si>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</si>
  <si>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</si>
  <si>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</si>
  <si>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</si>
  <si>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</si>
  <si>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</si>
  <si>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</si>
  <si>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</si>
  <si>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</si>
  <si>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</si>
  <si>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</si>
  <si>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</si>
  <si>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</si>
  <si>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</si>
  <si>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</si>
  <si>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</si>
  <si>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</si>
  <si>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</si>
  <si>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</si>
  <si>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</si>
  <si>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</si>
  <si>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</si>
  <si>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</si>
  <si>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</si>
  <si>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</si>
  <si>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</si>
  <si>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</si>
  <si>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</si>
  <si>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</si>
  <si>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</si>
  <si>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</si>
  <si>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</si>
  <si>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</si>
  <si>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</si>
  <si>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</si>
  <si>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</si>
  <si>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</si>
  <si>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</si>
  <si>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</si>
  <si>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</si>
  <si>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</si>
  <si>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</si>
  <si>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</si>
  <si>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</si>
  <si>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</si>
  <si>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</si>
  <si>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</si>
  <si>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</si>
  <si>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</si>
  <si>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</si>
  <si>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</si>
  <si>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</si>
  <si>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</si>
  <si>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</si>
  <si>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</si>
  <si>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</si>
  <si>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</si>
  <si>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</si>
  <si>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</si>
  <si>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</si>
  <si>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</si>
  <si>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</si>
  <si>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</si>
  <si>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</si>
  <si>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</si>
  <si>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</si>
  <si>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</si>
  <si>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</si>
  <si>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</si>
  <si>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</si>
  <si>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</si>
  <si>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</si>
  <si>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</si>
  <si>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</si>
  <si>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</si>
  <si>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</si>
  <si>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</si>
  <si>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</si>
  <si>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</si>
  <si>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</si>
  <si>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</si>
  <si>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</si>
  <si>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</si>
  <si>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</si>
  <si>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</si>
  <si>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</si>
  <si>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</si>
  <si>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</si>
  <si>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</si>
  <si>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</si>
  <si>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</si>
  <si>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</si>
  <si>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</si>
  <si>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</si>
  <si>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</si>
  <si>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</si>
  <si>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</si>
  <si>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</si>
  <si>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</si>
  <si>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</si>
  <si>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</si>
  <si>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</si>
  <si>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</si>
  <si>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</si>
  <si>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</si>
  <si>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</si>
  <si>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</si>
  <si>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</si>
  <si>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</si>
  <si>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</si>
  <si>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</si>
  <si>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</si>
  <si>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</si>
  <si>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</si>
  <si>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</si>
  <si>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</si>
  <si>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</si>
  <si>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</si>
  <si>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</si>
  <si>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</si>
  <si>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</si>
  <si>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</si>
  <si>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</si>
  <si>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</si>
  <si>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</si>
  <si>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</si>
  <si>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</si>
  <si>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</si>
  <si>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</si>
  <si>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</si>
  <si>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</si>
  <si>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</si>
  <si>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</si>
  <si>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</si>
  <si>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</si>
  <si>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</si>
  <si>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</si>
  <si>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</si>
  <si>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</si>
  <si>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</si>
  <si>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</si>
  <si>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</si>
  <si>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</si>
  <si>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</si>
  <si>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</si>
  <si>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</si>
  <si>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</si>
  <si>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</si>
  <si>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</si>
  <si>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</si>
  <si>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</si>
  <si>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</si>
  <si>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</si>
  <si>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</si>
  <si>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</si>
  <si>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</si>
  <si>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</si>
  <si>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</si>
  <si>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</si>
  <si>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</si>
  <si>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</si>
  <si>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</si>
  <si>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</si>
  <si>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</si>
  <si>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</si>
  <si>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</si>
  <si>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</si>
  <si>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</si>
  <si>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</si>
  <si>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</si>
  <si>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</si>
  <si>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</si>
  <si>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</si>
  <si>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</si>
  <si>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</si>
  <si>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</si>
  <si>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</si>
  <si>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</si>
  <si>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</si>
  <si>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</si>
  <si>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</si>
  <si>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</si>
  <si>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</si>
  <si>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</si>
  <si>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</si>
  <si>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</si>
  <si>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</si>
  <si>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</si>
  <si>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</si>
  <si>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</si>
  <si>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</si>
  <si>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</si>
  <si>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</si>
  <si>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</si>
  <si>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</si>
  <si>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</si>
  <si>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</si>
  <si>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</si>
  <si>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</si>
  <si>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</si>
  <si>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</si>
  <si>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</si>
  <si>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</si>
  <si>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</si>
  <si>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</si>
  <si>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</si>
  <si>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</si>
  <si>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</si>
  <si>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</si>
  <si>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</si>
  <si>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</si>
  <si>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</si>
  <si>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</si>
  <si>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</si>
  <si>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</si>
  <si>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</si>
  <si>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</si>
  <si>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</si>
  <si>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</si>
  <si>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</si>
  <si>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</si>
  <si>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</si>
  <si>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</si>
  <si>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</si>
  <si>
    <t>REFERÊNCIA DE VALORES</t>
  </si>
  <si>
    <t>DE</t>
  </si>
  <si>
    <t>ATÉ</t>
  </si>
  <si>
    <t>CÁLCULO DE IMC</t>
  </si>
  <si>
    <t>IDADE</t>
  </si>
  <si>
    <t>PESO</t>
  </si>
  <si>
    <t>ALTURA</t>
  </si>
  <si>
    <t>IMC</t>
  </si>
  <si>
    <t>Andréia</t>
  </si>
  <si>
    <t>Jefferson</t>
  </si>
  <si>
    <t>Joel</t>
  </si>
  <si>
    <t>Keila</t>
  </si>
  <si>
    <t>Lineide</t>
  </si>
  <si>
    <t>Rodolfo</t>
  </si>
  <si>
    <t>Tamires</t>
  </si>
  <si>
    <t>Abaixo do Peso</t>
  </si>
  <si>
    <t>Normal</t>
  </si>
  <si>
    <t>Sobrepeso</t>
  </si>
  <si>
    <t>Obeso</t>
  </si>
  <si>
    <t>Obeso Grave</t>
  </si>
  <si>
    <t>CONTROLE DE PAGAMENTO DE COMISSÕES</t>
  </si>
  <si>
    <t>% DE COMISSÃO</t>
  </si>
  <si>
    <t>COMISSÃO EM REAIS</t>
  </si>
  <si>
    <t>Ana Machado</t>
  </si>
  <si>
    <t>Augusto Filho</t>
  </si>
  <si>
    <t>Débora Roma</t>
  </si>
  <si>
    <t>Marcos Azevedo</t>
  </si>
  <si>
    <t>Robson Moraes</t>
  </si>
  <si>
    <t>Maria da Conceição</t>
  </si>
  <si>
    <t>Rebeca Alves Sousa</t>
  </si>
  <si>
    <t>CONSULTA DO % DE COMISSÃO</t>
  </si>
  <si>
    <t>PESQUISA</t>
  </si>
  <si>
    <t>FUNCIONÁRIOS</t>
  </si>
  <si>
    <t>Gerente de vendas</t>
  </si>
  <si>
    <t>Estagiário</t>
  </si>
  <si>
    <t>AA11</t>
  </si>
  <si>
    <t>AA12</t>
  </si>
  <si>
    <t>AA13</t>
  </si>
  <si>
    <t>AA14</t>
  </si>
  <si>
    <t>AA15</t>
  </si>
  <si>
    <t>EMPRESA</t>
  </si>
  <si>
    <t>CONTATO</t>
  </si>
  <si>
    <t>Nanci</t>
  </si>
  <si>
    <t>Janet</t>
  </si>
  <si>
    <t>Margaret</t>
  </si>
  <si>
    <t>Steven</t>
  </si>
  <si>
    <t>AA16</t>
  </si>
  <si>
    <t>Michel</t>
  </si>
  <si>
    <t>Davolio</t>
  </si>
  <si>
    <t>Fuller</t>
  </si>
  <si>
    <t>Leverling</t>
  </si>
  <si>
    <t>Peacock</t>
  </si>
  <si>
    <t>Buchaman</t>
  </si>
  <si>
    <t>Suyama</t>
  </si>
  <si>
    <t>USO DAS REDES SOCIAIS NAS ORGANIZAÇÕES</t>
  </si>
  <si>
    <t>REDES SOCIAIS</t>
  </si>
  <si>
    <t>%</t>
  </si>
  <si>
    <t>Facebook</t>
  </si>
  <si>
    <t>Twitter</t>
  </si>
  <si>
    <t>Instagram</t>
  </si>
  <si>
    <t>Linkedin</t>
  </si>
  <si>
    <t>Youtube</t>
  </si>
  <si>
    <t>Google+</t>
  </si>
  <si>
    <t>Messenger</t>
  </si>
  <si>
    <t>Pinterest</t>
  </si>
  <si>
    <t>WhatsApp</t>
  </si>
  <si>
    <t>Snapchat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</si>
</sst>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  <xf numFmtId="0" fontId="0" fillId="4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2" applyNumberFormat="1" applyFont="1"/>
    <xf numFmtId="0" fontId="0" fillId="5" borderId="2" xfId="0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3" xfId="0" applyFon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44" fontId="0" fillId="0" borderId="0" xfId="2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44" fontId="0" fillId="0" borderId="10" xfId="2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2" fillId="5" borderId="13" xfId="0" applyFont="1" applyFill="1" applyBorder="1"/>
    <xf numFmtId="44" fontId="0" fillId="5" borderId="15" xfId="2" applyFont="1" applyFill="1" applyBorder="1" applyAlignment="1">
      <alignment horizontal="center" vertical="center"/>
    </xf>
    <xf numFmtId="0" fontId="0" fillId="0" borderId="14" xfId="0" applyBorder="1"/>
    <xf numFmtId="0" fontId="0" fillId="0" borderId="2" xfId="0" applyBorder="1" applyAlignment="1">
      <alignment horizontal="center"/>
    </xf>
    <xf numFmtId="171" fontId="0" fillId="0" borderId="2" xfId="0" applyNumberForma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USO DAS REDES SOCIAIS NAS ORGANIZAÇÕES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746884288470562E-2"/>
          <c:y val="0.14059664389950369"/>
          <c:w val="0.77754671394552499"/>
          <c:h val="0.73633792588588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'36-Grafico 1'!$A$4</c:f>
              <c:strCache>
                <c:ptCount val="1"/>
                <c:pt idx="0">
                  <c:v>Facebook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1'!$B$4</c:f>
              <c:numCache>
                <c:formatCode>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8-4849-955C-75271A6C3985}"/>
            </c:ext>
          </c:extLst>
        </c:ser>
        <c:ser>
          <c:idx val="1"/>
          <c:order val="1"/>
          <c:tx>
            <c:strRef>
              <c:f>'36-Grafico 1'!$A$5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1'!$B$5</c:f>
              <c:numCache>
                <c:formatCode>0%</c:formatCode>
                <c:ptCount val="1"/>
                <c:pt idx="0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8-4849-955C-75271A6C3985}"/>
            </c:ext>
          </c:extLst>
        </c:ser>
        <c:ser>
          <c:idx val="2"/>
          <c:order val="2"/>
          <c:tx>
            <c:strRef>
              <c:f>'36-Grafico 1'!$A$6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1'!$B$6</c:f>
              <c:numCache>
                <c:formatCode>0%</c:formatCode>
                <c:ptCount val="1"/>
                <c:pt idx="0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8-4849-955C-75271A6C3985}"/>
            </c:ext>
          </c:extLst>
        </c:ser>
        <c:ser>
          <c:idx val="3"/>
          <c:order val="3"/>
          <c:tx>
            <c:strRef>
              <c:f>'36-Grafico 1'!$A$7</c:f>
              <c:strCache>
                <c:ptCount val="1"/>
                <c:pt idx="0">
                  <c:v>Linkedin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1'!$B$7</c:f>
              <c:numCache>
                <c:formatCode>0%</c:formatCode>
                <c:ptCount val="1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8-4849-955C-75271A6C3985}"/>
            </c:ext>
          </c:extLst>
        </c:ser>
        <c:ser>
          <c:idx val="4"/>
          <c:order val="4"/>
          <c:tx>
            <c:strRef>
              <c:f>'36-Grafico 1'!$A$8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1'!$B$8</c:f>
              <c:numCache>
                <c:formatCode>0%</c:formatCode>
                <c:ptCount val="1"/>
                <c:pt idx="0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8-4849-955C-75271A6C3985}"/>
            </c:ext>
          </c:extLst>
        </c:ser>
        <c:ser>
          <c:idx val="5"/>
          <c:order val="5"/>
          <c:tx>
            <c:strRef>
              <c:f>'36-Grafico 1'!$A$9</c:f>
              <c:strCache>
                <c:ptCount val="1"/>
                <c:pt idx="0">
                  <c:v>Google+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1'!$B$9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8-4849-955C-75271A6C3985}"/>
            </c:ext>
          </c:extLst>
        </c:ser>
        <c:ser>
          <c:idx val="6"/>
          <c:order val="6"/>
          <c:tx>
            <c:strRef>
              <c:f>'36-Grafico 1'!$A$10</c:f>
              <c:strCache>
                <c:ptCount val="1"/>
                <c:pt idx="0">
                  <c:v>Messenger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1'!$B$10</c:f>
              <c:numCache>
                <c:formatCode>0%</c:formatCode>
                <c:ptCount val="1"/>
                <c:pt idx="0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8-4849-955C-75271A6C3985}"/>
            </c:ext>
          </c:extLst>
        </c:ser>
        <c:ser>
          <c:idx val="7"/>
          <c:order val="7"/>
          <c:tx>
            <c:strRef>
              <c:f>'36-Grafico 1'!$A$11</c:f>
              <c:strCache>
                <c:ptCount val="1"/>
                <c:pt idx="0">
                  <c:v>Pinterest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1'!$B$11</c:f>
              <c:numCache>
                <c:formatCode>0%</c:formatCode>
                <c:ptCount val="1"/>
                <c:pt idx="0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28-4849-955C-75271A6C3985}"/>
            </c:ext>
          </c:extLst>
        </c:ser>
        <c:ser>
          <c:idx val="8"/>
          <c:order val="8"/>
          <c:tx>
            <c:strRef>
              <c:f>'36-Grafico 1'!$A$12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1'!$B$12</c:f>
              <c:numCache>
                <c:formatCode>0%</c:formatCode>
                <c:ptCount val="1"/>
                <c:pt idx="0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28-4849-955C-75271A6C3985}"/>
            </c:ext>
          </c:extLst>
        </c:ser>
        <c:ser>
          <c:idx val="9"/>
          <c:order val="9"/>
          <c:tx>
            <c:strRef>
              <c:f>'36-Grafico 1'!$A$13</c:f>
              <c:strCache>
                <c:ptCount val="1"/>
                <c:pt idx="0">
                  <c:v>Snapchat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'36-Grafico 1'!$B$3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'36-Grafico 1'!$B$13</c:f>
              <c:numCache>
                <c:formatCode>0%</c:formatCode>
                <c:ptCount val="1"/>
                <c:pt idx="0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528-4849-955C-75271A6C3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981872"/>
        <c:axId val="638717472"/>
      </c:barChart>
      <c:catAx>
        <c:axId val="55798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8717472"/>
        <c:crosses val="autoZero"/>
        <c:auto val="1"/>
        <c:lblAlgn val="ctr"/>
        <c:lblOffset val="100"/>
        <c:noMultiLvlLbl val="0"/>
      </c:catAx>
      <c:valAx>
        <c:axId val="6387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798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940400827380024"/>
          <c:y val="8.4975657013183756E-2"/>
          <c:w val="0.14768204967756515"/>
          <c:h val="0.870542989119342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4763</xdr:rowOff>
    </xdr:from>
    <xdr:to>
      <xdr:col>8</xdr:col>
      <xdr:colOff>85725</xdr:colOff>
      <xdr:row>15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65D498-0C0E-432F-9C02-A75491C98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114" t="s">
        <v>0</v>
      </c>
      <c r="B1" s="114"/>
      <c r="C1" s="114"/>
      <c r="D1" s="114"/>
    </row>
    <row r="2" spans="1:4" x14ac:dyDescent="0.25">
      <c r="A2" s="115" t="s">
        <v>1</v>
      </c>
      <c r="B2" s="116" t="s">
        <v>2</v>
      </c>
      <c r="C2" s="2">
        <v>23</v>
      </c>
      <c r="D2" s="1">
        <f>C2</f>
        <v>23</v>
      </c>
    </row>
    <row r="3" spans="1:4" x14ac:dyDescent="0.25">
      <c r="A3" s="115"/>
      <c r="B3" s="116"/>
      <c r="C3" s="3">
        <v>0.1</v>
      </c>
      <c r="D3" s="10">
        <f t="shared" ref="D3:D6" si="0">C3</f>
        <v>0.1</v>
      </c>
    </row>
    <row r="4" spans="1:4" x14ac:dyDescent="0.25">
      <c r="A4" s="115"/>
      <c r="B4" s="116"/>
      <c r="C4">
        <v>2.58</v>
      </c>
      <c r="D4" s="9">
        <f t="shared" si="0"/>
        <v>2.58</v>
      </c>
    </row>
    <row r="5" spans="1:4" x14ac:dyDescent="0.25">
      <c r="A5" s="115"/>
      <c r="B5" s="116"/>
      <c r="C5" s="4">
        <v>1000</v>
      </c>
      <c r="D5" s="11">
        <f t="shared" si="0"/>
        <v>1000</v>
      </c>
    </row>
    <row r="6" spans="1:4" x14ac:dyDescent="0.25">
      <c r="A6" s="115"/>
      <c r="B6" s="116"/>
      <c r="C6" s="5">
        <v>42567</v>
      </c>
      <c r="D6" s="8">
        <f t="shared" si="0"/>
        <v>42567</v>
      </c>
    </row>
    <row r="7" spans="1:4" ht="30" x14ac:dyDescent="0.25">
      <c r="A7" s="115"/>
      <c r="B7" s="116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17" t="s">
        <v>41</v>
      </c>
      <c r="B1" s="117"/>
      <c r="C1" s="117"/>
      <c r="D1" s="117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118" t="s">
        <v>46</v>
      </c>
      <c r="B1" s="118"/>
      <c r="C1" s="118"/>
      <c r="D1" s="118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119" t="s">
        <v>78</v>
      </c>
      <c r="B1" s="119"/>
      <c r="C1" s="119"/>
      <c r="D1" s="119"/>
      <c r="E1" s="119"/>
      <c r="F1" s="119"/>
      <c r="G1" s="119"/>
      <c r="H1" s="119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20" t="s">
        <v>95</v>
      </c>
      <c r="B1" s="120"/>
      <c r="C1" s="120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120" t="s">
        <v>99</v>
      </c>
      <c r="B1" s="120"/>
      <c r="C1" s="120"/>
      <c r="D1" s="120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121" t="s">
        <v>99</v>
      </c>
      <c r="B1" s="122"/>
      <c r="C1" s="123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120" t="s">
        <v>104</v>
      </c>
      <c r="B1" s="120"/>
      <c r="C1" s="120"/>
      <c r="D1" s="120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21" t="s">
        <v>104</v>
      </c>
      <c r="B1" s="122"/>
      <c r="C1" s="123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20" t="s">
        <v>112</v>
      </c>
      <c r="B1" s="120"/>
      <c r="C1" s="120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120" t="s">
        <v>112</v>
      </c>
      <c r="B1" s="120"/>
      <c r="C1" s="120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124" t="s">
        <v>113</v>
      </c>
      <c r="B1" s="124"/>
      <c r="C1" s="124"/>
      <c r="D1" s="124"/>
      <c r="E1" s="124"/>
      <c r="F1" s="124"/>
      <c r="G1" s="124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124" t="s">
        <v>120</v>
      </c>
      <c r="B1" s="125"/>
      <c r="C1" s="125"/>
      <c r="D1" s="125"/>
      <c r="E1" s="125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126" t="s">
        <v>146</v>
      </c>
      <c r="D13" s="127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126" t="s">
        <v>148</v>
      </c>
      <c r="B1" s="128"/>
      <c r="C1" s="127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129" t="s">
        <v>159</v>
      </c>
      <c r="B1" s="130"/>
      <c r="C1" s="130"/>
      <c r="D1" s="131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129" t="s">
        <v>171</v>
      </c>
      <c r="B1" s="130"/>
      <c r="C1" s="130"/>
      <c r="D1" s="130"/>
      <c r="E1" s="130"/>
      <c r="F1" s="131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125" t="s">
        <v>177</v>
      </c>
      <c r="E15" s="125"/>
      <c r="F15" s="26">
        <f>SUM(F3:F14)</f>
        <v>8669.24</v>
      </c>
    </row>
    <row r="16" spans="1:6" x14ac:dyDescent="0.25">
      <c r="D16" s="125" t="s">
        <v>178</v>
      </c>
      <c r="E16" s="125"/>
      <c r="F16" s="26">
        <f>AVERAGE(F3:F14)</f>
        <v>722.43666666666661</v>
      </c>
    </row>
    <row r="17" spans="4:6" x14ac:dyDescent="0.25">
      <c r="D17" s="125" t="s">
        <v>179</v>
      </c>
      <c r="E17" s="125"/>
      <c r="F17" s="26">
        <f>MAX(F3:F14)</f>
        <v>1670.3999999999999</v>
      </c>
    </row>
    <row r="18" spans="4:6" x14ac:dyDescent="0.25">
      <c r="D18" s="125" t="s">
        <v>180</v>
      </c>
      <c r="E18" s="125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132" t="s">
        <v>198</v>
      </c>
      <c r="B1" s="132"/>
      <c r="C1" s="132"/>
      <c r="D1" s="132"/>
      <c r="E1" s="132"/>
      <c r="F1" s="132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132" t="s">
        <v>206</v>
      </c>
      <c r="B1" s="132"/>
      <c r="C1" s="132"/>
      <c r="D1" s="132"/>
    </row>
    <row r="2" spans="1:4" x14ac:dyDescent="0.25">
      <c r="A2" s="51" t="s">
        <v>208</v>
      </c>
      <c r="B2" s="133" t="s">
        <v>210</v>
      </c>
      <c r="C2" s="134"/>
      <c r="D2" s="135"/>
    </row>
    <row r="3" spans="1:4" x14ac:dyDescent="0.25">
      <c r="A3" s="51" t="s">
        <v>43</v>
      </c>
      <c r="B3" s="136">
        <v>5144230</v>
      </c>
      <c r="C3" s="137"/>
      <c r="D3" s="138"/>
    </row>
    <row r="4" spans="1:4" x14ac:dyDescent="0.25">
      <c r="A4" s="51" t="s">
        <v>207</v>
      </c>
      <c r="B4" s="133" t="s">
        <v>211</v>
      </c>
      <c r="C4" s="134"/>
      <c r="D4" s="135"/>
    </row>
    <row r="5" spans="1:4" x14ac:dyDescent="0.25">
      <c r="A5" s="51" t="s">
        <v>154</v>
      </c>
      <c r="B5" s="139">
        <v>33337878</v>
      </c>
      <c r="C5" s="140"/>
      <c r="D5" s="141"/>
    </row>
    <row r="7" spans="1:4" x14ac:dyDescent="0.25">
      <c r="A7" s="132" t="s">
        <v>205</v>
      </c>
      <c r="B7" s="132"/>
      <c r="C7" s="132"/>
      <c r="D7" s="132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126" t="s">
        <v>209</v>
      </c>
      <c r="C15" s="127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126" t="s">
        <v>200</v>
      </c>
      <c r="C18" s="127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42" t="s">
        <v>217</v>
      </c>
      <c r="B1" s="143"/>
      <c r="C1" s="143"/>
      <c r="D1" s="143"/>
      <c r="E1" s="143"/>
      <c r="F1" s="143"/>
      <c r="G1" s="143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124" t="s">
        <v>234</v>
      </c>
      <c r="B1" s="125"/>
      <c r="D1" s="129" t="s">
        <v>237</v>
      </c>
      <c r="E1" s="131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124" t="s">
        <v>242</v>
      </c>
      <c r="B1" s="124"/>
      <c r="C1" s="124"/>
      <c r="D1" s="124"/>
      <c r="E1" s="124"/>
      <c r="G1" s="124" t="s">
        <v>237</v>
      </c>
      <c r="H1" s="125"/>
      <c r="I1" s="125"/>
      <c r="J1" s="125"/>
      <c r="K1" s="125"/>
      <c r="L1" s="125"/>
      <c r="M1" s="125"/>
      <c r="N1" s="125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44" t="s">
        <v>246</v>
      </c>
      <c r="H2" s="144"/>
      <c r="I2" s="7"/>
      <c r="J2" s="125" t="s">
        <v>247</v>
      </c>
      <c r="K2" s="125"/>
      <c r="L2" s="7"/>
      <c r="M2" s="125" t="s">
        <v>248</v>
      </c>
      <c r="N2" s="125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45" t="s">
        <v>257</v>
      </c>
      <c r="B1" s="146"/>
      <c r="C1" s="146"/>
      <c r="D1" s="146"/>
      <c r="E1" s="147"/>
      <c r="G1" s="132" t="s">
        <v>263</v>
      </c>
      <c r="H1" s="132"/>
      <c r="I1" s="132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124" t="s">
        <v>273</v>
      </c>
      <c r="B1" s="124"/>
      <c r="C1" s="124"/>
      <c r="D1" s="124"/>
      <c r="F1" s="124" t="s">
        <v>274</v>
      </c>
      <c r="G1" s="124"/>
      <c r="H1" s="124"/>
      <c r="I1" s="124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125" t="s">
        <v>293</v>
      </c>
      <c r="G9" s="125"/>
      <c r="H9" s="125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125" t="s">
        <v>294</v>
      </c>
      <c r="G10" s="125"/>
      <c r="H10" s="125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124" t="s">
        <v>303</v>
      </c>
      <c r="B1" s="124"/>
      <c r="C1" s="124"/>
      <c r="D1" s="124"/>
      <c r="E1" s="124"/>
    </row>
    <row r="2" spans="1:5" x14ac:dyDescent="0.25">
      <c r="A2" s="60" t="s">
        <v>278</v>
      </c>
      <c r="B2" s="60" t="s">
        <v>100</v>
      </c>
      <c r="C2" s="7"/>
      <c r="D2" s="126" t="s">
        <v>296</v>
      </c>
      <c r="E2" s="127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126" t="s">
        <v>302</v>
      </c>
      <c r="E10" s="127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132" t="s">
        <v>305</v>
      </c>
      <c r="B1" s="148"/>
      <c r="C1" s="148"/>
      <c r="D1" s="148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124" t="s">
        <v>316</v>
      </c>
      <c r="B1" s="124"/>
      <c r="C1" s="124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129" t="s">
        <v>325</v>
      </c>
      <c r="B1" s="130"/>
      <c r="C1" s="131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132" t="s">
        <v>342</v>
      </c>
      <c r="B1" s="132"/>
      <c r="C1" s="132"/>
      <c r="D1" s="132"/>
      <c r="F1" s="124" t="s">
        <v>347</v>
      </c>
      <c r="G1" s="124"/>
      <c r="H1" s="124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workbookViewId="0">
      <selection activeCell="B16" sqref="B16:C16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132" t="s">
        <v>414</v>
      </c>
      <c r="B1" s="132"/>
      <c r="C1" s="132"/>
      <c r="D1" s="132"/>
      <c r="E1" s="132"/>
      <c r="F1" s="132"/>
      <c r="G1" s="132"/>
      <c r="H1" s="132"/>
      <c r="J1" s="77"/>
      <c r="K1" s="77"/>
      <c r="L1" s="77"/>
      <c r="M1" s="77"/>
      <c r="N1" s="77"/>
      <c r="O1" s="77"/>
      <c r="P1" s="77"/>
      <c r="Q1" s="77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78"/>
      <c r="K2" s="78"/>
      <c r="L2" s="78"/>
      <c r="M2" s="78"/>
      <c r="N2" s="78"/>
      <c r="O2" s="78"/>
      <c r="P2" s="78"/>
      <c r="Q2" s="78"/>
    </row>
    <row r="3" spans="1:17" x14ac:dyDescent="0.25">
      <c r="A3" s="74" t="s">
        <v>397</v>
      </c>
      <c r="B3" s="71">
        <v>33248</v>
      </c>
      <c r="C3" s="73" t="s">
        <v>367</v>
      </c>
      <c r="D3" s="74" t="s">
        <v>376</v>
      </c>
      <c r="E3" s="74" t="s">
        <v>387</v>
      </c>
      <c r="F3" s="74" t="s">
        <v>370</v>
      </c>
      <c r="G3" s="73" t="s">
        <v>369</v>
      </c>
      <c r="H3" s="75">
        <v>5421330</v>
      </c>
      <c r="J3" s="79"/>
      <c r="K3" s="80"/>
      <c r="L3" s="81"/>
      <c r="M3" s="79"/>
      <c r="N3" s="79"/>
      <c r="O3" s="79"/>
      <c r="P3" s="81"/>
      <c r="Q3" s="82"/>
    </row>
    <row r="4" spans="1:17" x14ac:dyDescent="0.25">
      <c r="A4" s="74" t="s">
        <v>398</v>
      </c>
      <c r="B4" s="71">
        <v>32912</v>
      </c>
      <c r="C4" s="73" t="s">
        <v>367</v>
      </c>
      <c r="D4" s="74" t="s">
        <v>377</v>
      </c>
      <c r="E4" s="74" t="s">
        <v>388</v>
      </c>
      <c r="F4" s="74" t="s">
        <v>371</v>
      </c>
      <c r="G4" s="73" t="s">
        <v>369</v>
      </c>
      <c r="H4" s="75">
        <v>8721654</v>
      </c>
      <c r="J4" s="79"/>
      <c r="K4" s="80"/>
      <c r="L4" s="81"/>
      <c r="M4" s="79"/>
      <c r="N4" s="79"/>
      <c r="O4" s="79"/>
      <c r="P4" s="81"/>
      <c r="Q4" s="82"/>
    </row>
    <row r="5" spans="1:17" x14ac:dyDescent="0.25">
      <c r="A5" s="74" t="s">
        <v>399</v>
      </c>
      <c r="B5" s="71">
        <v>32576</v>
      </c>
      <c r="C5" s="73" t="s">
        <v>367</v>
      </c>
      <c r="D5" s="74" t="s">
        <v>378</v>
      </c>
      <c r="E5" s="74" t="s">
        <v>389</v>
      </c>
      <c r="F5" s="74" t="s">
        <v>372</v>
      </c>
      <c r="G5" s="73" t="s">
        <v>369</v>
      </c>
      <c r="H5" s="75">
        <v>5524118</v>
      </c>
      <c r="J5" s="79"/>
      <c r="K5" s="80"/>
      <c r="L5" s="81"/>
      <c r="M5" s="79"/>
      <c r="N5" s="79"/>
      <c r="O5" s="79"/>
      <c r="P5" s="81"/>
      <c r="Q5" s="82"/>
    </row>
    <row r="6" spans="1:17" x14ac:dyDescent="0.25">
      <c r="A6" s="74" t="s">
        <v>400</v>
      </c>
      <c r="B6" s="71">
        <v>32240</v>
      </c>
      <c r="C6" s="73" t="s">
        <v>368</v>
      </c>
      <c r="D6" s="74" t="s">
        <v>379</v>
      </c>
      <c r="E6" s="74" t="s">
        <v>390</v>
      </c>
      <c r="F6" s="74" t="s">
        <v>373</v>
      </c>
      <c r="G6" s="73" t="s">
        <v>369</v>
      </c>
      <c r="H6" s="75">
        <v>8484012</v>
      </c>
      <c r="J6" s="79"/>
      <c r="K6" s="80"/>
      <c r="L6" s="81"/>
      <c r="M6" s="79"/>
      <c r="N6" s="79"/>
      <c r="O6" s="79"/>
      <c r="P6" s="81"/>
      <c r="Q6" s="82"/>
    </row>
    <row r="7" spans="1:17" x14ac:dyDescent="0.25">
      <c r="A7" s="74" t="s">
        <v>401</v>
      </c>
      <c r="B7" s="71">
        <v>31904</v>
      </c>
      <c r="C7" s="73" t="s">
        <v>368</v>
      </c>
      <c r="D7" s="74" t="s">
        <v>380</v>
      </c>
      <c r="E7" s="74" t="s">
        <v>391</v>
      </c>
      <c r="F7" s="74" t="s">
        <v>371</v>
      </c>
      <c r="G7" s="73" t="s">
        <v>369</v>
      </c>
      <c r="H7" s="75">
        <v>3547900</v>
      </c>
      <c r="J7" s="79"/>
      <c r="K7" s="80"/>
      <c r="L7" s="81"/>
      <c r="M7" s="79"/>
      <c r="N7" s="79"/>
      <c r="O7" s="79"/>
      <c r="P7" s="81"/>
      <c r="Q7" s="82"/>
    </row>
    <row r="8" spans="1:17" x14ac:dyDescent="0.25">
      <c r="A8" s="74" t="s">
        <v>402</v>
      </c>
      <c r="B8" s="71">
        <v>31568</v>
      </c>
      <c r="C8" s="73" t="s">
        <v>368</v>
      </c>
      <c r="D8" s="74" t="s">
        <v>381</v>
      </c>
      <c r="E8" s="74" t="s">
        <v>392</v>
      </c>
      <c r="F8" s="74" t="s">
        <v>374</v>
      </c>
      <c r="G8" s="73" t="s">
        <v>369</v>
      </c>
      <c r="H8" s="75">
        <v>6545789</v>
      </c>
      <c r="J8" s="79"/>
      <c r="K8" s="80"/>
      <c r="L8" s="81"/>
      <c r="M8" s="79"/>
      <c r="N8" s="79"/>
      <c r="O8" s="79"/>
      <c r="P8" s="81"/>
      <c r="Q8" s="82"/>
    </row>
    <row r="9" spans="1:17" x14ac:dyDescent="0.25">
      <c r="A9" s="74" t="s">
        <v>403</v>
      </c>
      <c r="B9" s="71">
        <v>31232</v>
      </c>
      <c r="C9" s="73" t="s">
        <v>368</v>
      </c>
      <c r="D9" s="74" t="s">
        <v>382</v>
      </c>
      <c r="E9" s="74" t="s">
        <v>393</v>
      </c>
      <c r="F9" s="74" t="s">
        <v>375</v>
      </c>
      <c r="G9" s="73" t="s">
        <v>369</v>
      </c>
      <c r="H9" s="75">
        <v>2149747</v>
      </c>
      <c r="J9" s="79"/>
      <c r="K9" s="80"/>
      <c r="L9" s="81"/>
      <c r="M9" s="79"/>
      <c r="N9" s="79"/>
      <c r="O9" s="79"/>
      <c r="P9" s="81"/>
      <c r="Q9" s="82"/>
    </row>
    <row r="10" spans="1:17" x14ac:dyDescent="0.25">
      <c r="A10" s="74" t="s">
        <v>404</v>
      </c>
      <c r="B10" s="71">
        <v>30896</v>
      </c>
      <c r="C10" s="73" t="s">
        <v>368</v>
      </c>
      <c r="D10" s="74" t="s">
        <v>383</v>
      </c>
      <c r="E10" s="74" t="s">
        <v>394</v>
      </c>
      <c r="F10" s="74" t="s">
        <v>372</v>
      </c>
      <c r="G10" s="73" t="s">
        <v>369</v>
      </c>
      <c r="H10" s="75">
        <v>2265458</v>
      </c>
      <c r="J10" s="79"/>
      <c r="K10" s="80"/>
      <c r="L10" s="81"/>
      <c r="M10" s="79"/>
      <c r="N10" s="79"/>
      <c r="O10" s="79"/>
      <c r="P10" s="81"/>
      <c r="Q10" s="82"/>
    </row>
    <row r="11" spans="1:17" x14ac:dyDescent="0.25">
      <c r="A11" s="74" t="s">
        <v>405</v>
      </c>
      <c r="B11" s="71">
        <v>30560</v>
      </c>
      <c r="C11" s="73" t="s">
        <v>367</v>
      </c>
      <c r="D11" s="74" t="s">
        <v>384</v>
      </c>
      <c r="E11" s="74" t="s">
        <v>395</v>
      </c>
      <c r="F11" s="74" t="s">
        <v>370</v>
      </c>
      <c r="G11" s="73" t="s">
        <v>369</v>
      </c>
      <c r="H11" s="75">
        <v>4987200</v>
      </c>
      <c r="J11" s="79"/>
      <c r="K11" s="80"/>
      <c r="L11" s="81"/>
      <c r="M11" s="79"/>
      <c r="N11" s="79"/>
      <c r="O11" s="79"/>
      <c r="P11" s="81"/>
      <c r="Q11" s="82"/>
    </row>
    <row r="12" spans="1:17" x14ac:dyDescent="0.25">
      <c r="A12" s="74" t="s">
        <v>406</v>
      </c>
      <c r="B12" s="71">
        <v>30224</v>
      </c>
      <c r="C12" s="73" t="s">
        <v>367</v>
      </c>
      <c r="D12" s="74" t="s">
        <v>385</v>
      </c>
      <c r="E12" s="74" t="s">
        <v>396</v>
      </c>
      <c r="F12" s="74" t="s">
        <v>370</v>
      </c>
      <c r="G12" s="73" t="s">
        <v>369</v>
      </c>
      <c r="H12" s="75">
        <v>1212300</v>
      </c>
      <c r="J12" s="79"/>
      <c r="K12" s="80"/>
      <c r="L12" s="81"/>
      <c r="M12" s="79"/>
      <c r="N12" s="79"/>
      <c r="O12" s="79"/>
      <c r="P12" s="81"/>
      <c r="Q12" s="82"/>
    </row>
    <row r="13" spans="1:17" x14ac:dyDescent="0.25">
      <c r="A13" s="74" t="s">
        <v>407</v>
      </c>
      <c r="B13" s="71">
        <v>29888</v>
      </c>
      <c r="C13" s="73" t="s">
        <v>367</v>
      </c>
      <c r="D13" s="74" t="s">
        <v>386</v>
      </c>
      <c r="E13" s="74" t="s">
        <v>388</v>
      </c>
      <c r="F13" s="74" t="s">
        <v>374</v>
      </c>
      <c r="G13" s="73" t="s">
        <v>369</v>
      </c>
      <c r="H13" s="75">
        <v>7584219</v>
      </c>
      <c r="J13" s="79"/>
      <c r="K13" s="80"/>
      <c r="L13" s="81"/>
      <c r="M13" s="79"/>
      <c r="N13" s="79"/>
      <c r="O13" s="79"/>
      <c r="P13" s="81"/>
      <c r="Q13" s="82"/>
    </row>
    <row r="14" spans="1:17" x14ac:dyDescent="0.25">
      <c r="J14" s="83"/>
      <c r="K14" s="83"/>
      <c r="L14" s="83"/>
      <c r="M14" s="83"/>
      <c r="N14" s="83"/>
      <c r="O14" s="83"/>
      <c r="P14" s="83"/>
      <c r="Q14" s="83"/>
    </row>
    <row r="15" spans="1:17" x14ac:dyDescent="0.25">
      <c r="A15" s="151" t="s">
        <v>408</v>
      </c>
      <c r="B15" s="151"/>
      <c r="C15" s="151"/>
      <c r="J15" s="84"/>
      <c r="K15" s="84"/>
      <c r="L15" s="84"/>
      <c r="M15" s="83"/>
      <c r="N15" s="83"/>
      <c r="O15" s="83"/>
      <c r="P15" s="83"/>
      <c r="Q15" s="83"/>
    </row>
    <row r="16" spans="1:17" x14ac:dyDescent="0.25">
      <c r="A16" s="76" t="s">
        <v>409</v>
      </c>
      <c r="B16" s="152" t="s">
        <v>400</v>
      </c>
      <c r="C16" s="152"/>
      <c r="J16" s="85"/>
      <c r="K16" s="89"/>
      <c r="L16" s="89"/>
      <c r="M16" s="83"/>
      <c r="N16" s="83"/>
      <c r="O16" s="83"/>
      <c r="P16" s="83"/>
      <c r="Q16" s="83"/>
    </row>
    <row r="17" spans="1:17" x14ac:dyDescent="0.25">
      <c r="A17" s="76" t="s">
        <v>410</v>
      </c>
      <c r="B17" s="149">
        <f>VLOOKUP($B$16,$A$3:$H$13,2,FALSE)</f>
        <v>32240</v>
      </c>
      <c r="C17" s="149"/>
      <c r="J17" s="85"/>
      <c r="K17" s="87"/>
      <c r="L17" s="87"/>
      <c r="M17" s="83"/>
      <c r="N17" s="83"/>
      <c r="O17" s="83"/>
      <c r="P17" s="83"/>
      <c r="Q17" s="83"/>
    </row>
    <row r="18" spans="1:17" x14ac:dyDescent="0.25">
      <c r="A18" s="76" t="s">
        <v>411</v>
      </c>
      <c r="B18" s="149" t="str">
        <f>VLOOKUP($B$16,$A$3:$H$13,3,FALSE)</f>
        <v>M</v>
      </c>
      <c r="C18" s="149"/>
      <c r="J18" s="85"/>
      <c r="K18" s="87"/>
      <c r="L18" s="87"/>
      <c r="M18" s="83"/>
      <c r="N18" s="83"/>
      <c r="O18" s="83"/>
      <c r="P18" s="83"/>
      <c r="Q18" s="83"/>
    </row>
    <row r="19" spans="1:17" x14ac:dyDescent="0.25">
      <c r="A19" s="76" t="s">
        <v>208</v>
      </c>
      <c r="B19" s="149" t="str">
        <f>VLOOKUP($B$16,$A$3:$H$13,4,FALSE)</f>
        <v>Av. João Bosco, 415</v>
      </c>
      <c r="C19" s="149"/>
      <c r="J19" s="85"/>
      <c r="K19" s="87"/>
      <c r="L19" s="87"/>
      <c r="M19" s="83"/>
      <c r="N19" s="83"/>
      <c r="O19" s="83"/>
      <c r="P19" s="83"/>
      <c r="Q19" s="83"/>
    </row>
    <row r="20" spans="1:17" x14ac:dyDescent="0.25">
      <c r="A20" s="76" t="s">
        <v>412</v>
      </c>
      <c r="B20" s="149" t="str">
        <f>VLOOKUP($B$16,$A$3:$H$13,5,FALSE)</f>
        <v>Leme</v>
      </c>
      <c r="C20" s="149"/>
      <c r="J20" s="85"/>
      <c r="K20" s="87"/>
      <c r="L20" s="87"/>
      <c r="M20" s="83"/>
      <c r="N20" s="83"/>
      <c r="O20" s="83"/>
      <c r="P20" s="83"/>
      <c r="Q20" s="83"/>
    </row>
    <row r="21" spans="1:17" x14ac:dyDescent="0.25">
      <c r="A21" s="76" t="s">
        <v>207</v>
      </c>
      <c r="B21" s="149" t="str">
        <f>VLOOKUP($B$16,$A$3:$H$13,6,FALSE)</f>
        <v>Carapícuiba</v>
      </c>
      <c r="C21" s="149"/>
      <c r="J21" s="85"/>
      <c r="K21" s="87"/>
      <c r="L21" s="87"/>
      <c r="M21" s="83"/>
      <c r="N21" s="83"/>
      <c r="O21" s="83"/>
      <c r="P21" s="83"/>
      <c r="Q21" s="83"/>
    </row>
    <row r="22" spans="1:17" x14ac:dyDescent="0.25">
      <c r="A22" s="76" t="s">
        <v>413</v>
      </c>
      <c r="B22" s="149" t="str">
        <f>VLOOKUP($B$16,$A$3:$H$13,7,FALSE)</f>
        <v>SP</v>
      </c>
      <c r="C22" s="149"/>
      <c r="J22" s="85"/>
      <c r="K22" s="87"/>
      <c r="L22" s="87"/>
      <c r="M22" s="83"/>
      <c r="N22" s="83"/>
      <c r="O22" s="83"/>
      <c r="P22" s="83"/>
      <c r="Q22" s="83"/>
    </row>
    <row r="23" spans="1:17" x14ac:dyDescent="0.25">
      <c r="A23" s="76" t="s">
        <v>43</v>
      </c>
      <c r="B23" s="150">
        <f>VLOOKUP($B$16,$A$3:$H$13,8,FALSE)</f>
        <v>8484012</v>
      </c>
      <c r="C23" s="150"/>
      <c r="J23" s="85"/>
      <c r="K23" s="88"/>
      <c r="L23" s="88"/>
      <c r="M23" s="83"/>
      <c r="N23" s="83"/>
      <c r="O23" s="83"/>
      <c r="P23" s="83"/>
      <c r="Q23" s="83"/>
    </row>
    <row r="24" spans="1:17" x14ac:dyDescent="0.25">
      <c r="J24" s="86"/>
      <c r="K24" s="86"/>
      <c r="L24" s="86"/>
      <c r="M24" s="86"/>
      <c r="N24" s="86"/>
      <c r="O24" s="86"/>
      <c r="P24" s="86"/>
      <c r="Q24" s="86"/>
    </row>
    <row r="25" spans="1:17" x14ac:dyDescent="0.25">
      <c r="J25" s="86"/>
      <c r="K25" s="86"/>
      <c r="L25" s="86"/>
      <c r="M25" s="86"/>
      <c r="N25" s="86"/>
      <c r="O25" s="86"/>
      <c r="P25" s="86"/>
      <c r="Q25" s="86"/>
    </row>
  </sheetData>
  <mergeCells count="10">
    <mergeCell ref="A1:H1"/>
    <mergeCell ref="A15:C15"/>
    <mergeCell ref="B16:C16"/>
    <mergeCell ref="B17:C17"/>
    <mergeCell ref="B18:C18"/>
    <mergeCell ref="B19:C19"/>
    <mergeCell ref="B20:C20"/>
    <mergeCell ref="B21:C21"/>
    <mergeCell ref="B22:C22"/>
    <mergeCell ref="B23:C23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6B2-D0AC-4B7C-BBFB-5146D3ADB459}">
  <dimension ref="A1:J13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5" max="5" width="9.5703125" bestFit="1" customWidth="1"/>
    <col min="6" max="6" width="14.7109375" bestFit="1" customWidth="1"/>
    <col min="7" max="7" width="3.42578125" customWidth="1"/>
    <col min="10" max="10" width="14.7109375" bestFit="1" customWidth="1"/>
  </cols>
  <sheetData>
    <row r="1" spans="1:10" x14ac:dyDescent="0.25">
      <c r="A1" s="124" t="s">
        <v>418</v>
      </c>
      <c r="B1" s="124"/>
      <c r="C1" s="124"/>
      <c r="D1" s="124"/>
      <c r="E1" s="124"/>
      <c r="F1" s="124"/>
      <c r="H1" s="151" t="s">
        <v>415</v>
      </c>
      <c r="I1" s="151"/>
      <c r="J1" s="151"/>
    </row>
    <row r="2" spans="1:10" x14ac:dyDescent="0.25">
      <c r="A2" s="90" t="s">
        <v>47</v>
      </c>
      <c r="B2" s="90" t="s">
        <v>419</v>
      </c>
      <c r="C2" s="90" t="s">
        <v>420</v>
      </c>
      <c r="D2" s="90" t="s">
        <v>421</v>
      </c>
      <c r="E2" s="90" t="s">
        <v>422</v>
      </c>
      <c r="F2" s="72" t="s">
        <v>98</v>
      </c>
      <c r="H2" s="72" t="s">
        <v>416</v>
      </c>
      <c r="I2" s="72" t="s">
        <v>417</v>
      </c>
      <c r="J2" s="72" t="s">
        <v>98</v>
      </c>
    </row>
    <row r="3" spans="1:10" x14ac:dyDescent="0.25">
      <c r="A3" s="45" t="s">
        <v>423</v>
      </c>
      <c r="B3" s="42">
        <v>21</v>
      </c>
      <c r="C3" s="42">
        <v>54</v>
      </c>
      <c r="D3" s="91">
        <v>1.6</v>
      </c>
      <c r="E3" s="91">
        <f>C3/(D3*D3)</f>
        <v>21.093749999999996</v>
      </c>
      <c r="F3" s="45" t="str">
        <f>VLOOKUP(E3,$H$3:$J$7,3,TRUE)</f>
        <v>Normal</v>
      </c>
      <c r="H3" s="40">
        <v>0</v>
      </c>
      <c r="I3" s="40">
        <v>18</v>
      </c>
      <c r="J3" s="19" t="s">
        <v>430</v>
      </c>
    </row>
    <row r="4" spans="1:10" x14ac:dyDescent="0.25">
      <c r="A4" s="45" t="s">
        <v>424</v>
      </c>
      <c r="B4" s="92">
        <v>28</v>
      </c>
      <c r="C4" s="42">
        <v>58</v>
      </c>
      <c r="D4" s="91">
        <v>1.75</v>
      </c>
      <c r="E4" s="91">
        <f t="shared" ref="E4:E13" si="0">C4/(D4*D4)</f>
        <v>18.938775510204081</v>
      </c>
      <c r="F4" s="45" t="str">
        <f t="shared" ref="F4:F13" si="1">VLOOKUP(E4,$H$3:$J$7,3,TRUE)</f>
        <v>Abaixo do Peso</v>
      </c>
      <c r="H4" s="40">
        <v>19</v>
      </c>
      <c r="I4" s="40">
        <v>24</v>
      </c>
      <c r="J4" s="19" t="s">
        <v>431</v>
      </c>
    </row>
    <row r="5" spans="1:10" x14ac:dyDescent="0.25">
      <c r="A5" s="45" t="s">
        <v>425</v>
      </c>
      <c r="B5" s="42">
        <v>16</v>
      </c>
      <c r="C5" s="42">
        <v>70</v>
      </c>
      <c r="D5" s="91">
        <v>1.68</v>
      </c>
      <c r="E5" s="91">
        <f t="shared" si="0"/>
        <v>24.801587301587304</v>
      </c>
      <c r="F5" s="45" t="str">
        <f t="shared" si="1"/>
        <v>Normal</v>
      </c>
      <c r="H5" s="40">
        <v>25</v>
      </c>
      <c r="I5" s="40">
        <v>29</v>
      </c>
      <c r="J5" s="19" t="s">
        <v>432</v>
      </c>
    </row>
    <row r="6" spans="1:10" x14ac:dyDescent="0.25">
      <c r="A6" s="45" t="s">
        <v>280</v>
      </c>
      <c r="B6" s="42">
        <v>15</v>
      </c>
      <c r="C6" s="42">
        <v>115</v>
      </c>
      <c r="D6" s="91">
        <v>1.9</v>
      </c>
      <c r="E6" s="91">
        <f t="shared" si="0"/>
        <v>31.855955678670362</v>
      </c>
      <c r="F6" s="45" t="str">
        <f t="shared" si="1"/>
        <v>Obeso</v>
      </c>
      <c r="H6" s="40">
        <v>30</v>
      </c>
      <c r="I6" s="40">
        <v>39</v>
      </c>
      <c r="J6" s="19" t="s">
        <v>433</v>
      </c>
    </row>
    <row r="7" spans="1:10" x14ac:dyDescent="0.25">
      <c r="A7" s="45" t="s">
        <v>426</v>
      </c>
      <c r="B7" s="42">
        <v>29</v>
      </c>
      <c r="C7" s="42">
        <v>62</v>
      </c>
      <c r="D7" s="91">
        <v>1.54</v>
      </c>
      <c r="E7" s="91">
        <f t="shared" si="0"/>
        <v>26.14268848035082</v>
      </c>
      <c r="F7" s="45" t="str">
        <f t="shared" si="1"/>
        <v>Sobrepeso</v>
      </c>
      <c r="H7" s="40">
        <v>40</v>
      </c>
      <c r="I7" s="40">
        <v>80</v>
      </c>
      <c r="J7" s="19" t="s">
        <v>434</v>
      </c>
    </row>
    <row r="8" spans="1:10" x14ac:dyDescent="0.25">
      <c r="A8" s="45" t="s">
        <v>427</v>
      </c>
      <c r="B8" s="42">
        <v>32</v>
      </c>
      <c r="C8" s="42">
        <v>59</v>
      </c>
      <c r="D8" s="91">
        <v>1.61</v>
      </c>
      <c r="E8" s="91">
        <f t="shared" si="0"/>
        <v>22.761467535974688</v>
      </c>
      <c r="F8" s="45" t="str">
        <f t="shared" si="1"/>
        <v>Normal</v>
      </c>
    </row>
    <row r="9" spans="1:10" x14ac:dyDescent="0.25">
      <c r="A9" s="45" t="s">
        <v>225</v>
      </c>
      <c r="B9" s="42">
        <v>41</v>
      </c>
      <c r="C9" s="42">
        <v>74</v>
      </c>
      <c r="D9" s="91">
        <v>1.63</v>
      </c>
      <c r="E9" s="91">
        <f t="shared" si="0"/>
        <v>27.852007979223909</v>
      </c>
      <c r="F9" s="45" t="str">
        <f t="shared" si="1"/>
        <v>Sobrepeso</v>
      </c>
    </row>
    <row r="10" spans="1:10" x14ac:dyDescent="0.25">
      <c r="A10" s="45" t="s">
        <v>428</v>
      </c>
      <c r="B10" s="42">
        <v>57</v>
      </c>
      <c r="C10" s="42">
        <v>68</v>
      </c>
      <c r="D10" s="91">
        <v>1.75</v>
      </c>
      <c r="E10" s="91">
        <f t="shared" si="0"/>
        <v>22.204081632653061</v>
      </c>
      <c r="F10" s="45" t="str">
        <f t="shared" si="1"/>
        <v>Normal</v>
      </c>
    </row>
    <row r="11" spans="1:10" x14ac:dyDescent="0.25">
      <c r="A11" s="45" t="s">
        <v>340</v>
      </c>
      <c r="B11" s="42">
        <v>18</v>
      </c>
      <c r="C11" s="42">
        <v>94</v>
      </c>
      <c r="D11" s="91">
        <v>1.82</v>
      </c>
      <c r="E11" s="91">
        <f t="shared" si="0"/>
        <v>28.378215191402003</v>
      </c>
      <c r="F11" s="45" t="str">
        <f t="shared" si="1"/>
        <v>Sobrepeso</v>
      </c>
    </row>
    <row r="12" spans="1:10" x14ac:dyDescent="0.25">
      <c r="A12" s="45" t="s">
        <v>429</v>
      </c>
      <c r="B12" s="42">
        <v>68</v>
      </c>
      <c r="C12" s="42">
        <v>60</v>
      </c>
      <c r="D12" s="91">
        <v>1.59</v>
      </c>
      <c r="E12" s="91">
        <f t="shared" si="0"/>
        <v>23.733238400379729</v>
      </c>
      <c r="F12" s="45" t="str">
        <f t="shared" si="1"/>
        <v>Normal</v>
      </c>
    </row>
    <row r="13" spans="1:10" x14ac:dyDescent="0.25">
      <c r="A13" s="45" t="s">
        <v>322</v>
      </c>
      <c r="B13" s="42">
        <v>19</v>
      </c>
      <c r="C13" s="42">
        <v>120</v>
      </c>
      <c r="D13" s="91">
        <v>1.72</v>
      </c>
      <c r="E13" s="91">
        <f t="shared" si="0"/>
        <v>40.562466197944836</v>
      </c>
      <c r="F13" s="45" t="str">
        <f t="shared" si="1"/>
        <v>Obeso Grave</v>
      </c>
    </row>
  </sheetData>
  <mergeCells count="2">
    <mergeCell ref="A1:F1"/>
    <mergeCell ref="H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CF78-3A97-4FE1-A947-D390DC22C965}">
  <dimension ref="A1:H9"/>
  <sheetViews>
    <sheetView workbookViewId="0">
      <selection activeCell="F37" sqref="F37"/>
    </sheetView>
  </sheetViews>
  <sheetFormatPr defaultColWidth="18.28515625" defaultRowHeight="15" x14ac:dyDescent="0.25"/>
  <cols>
    <col min="1" max="1" width="18.5703125" bestFit="1" customWidth="1"/>
    <col min="4" max="4" width="22.85546875" customWidth="1"/>
    <col min="5" max="5" width="3.42578125" customWidth="1"/>
  </cols>
  <sheetData>
    <row r="1" spans="1:8" x14ac:dyDescent="0.25">
      <c r="A1" s="124" t="s">
        <v>435</v>
      </c>
      <c r="B1" s="125"/>
      <c r="C1" s="125"/>
      <c r="D1" s="125"/>
      <c r="F1" s="153" t="s">
        <v>445</v>
      </c>
      <c r="G1" s="153"/>
      <c r="H1" s="153"/>
    </row>
    <row r="2" spans="1:8" x14ac:dyDescent="0.25">
      <c r="A2" s="90" t="s">
        <v>275</v>
      </c>
      <c r="B2" s="90" t="s">
        <v>100</v>
      </c>
      <c r="C2" s="90" t="s">
        <v>436</v>
      </c>
      <c r="D2" s="90" t="s">
        <v>437</v>
      </c>
      <c r="F2" s="72" t="s">
        <v>416</v>
      </c>
      <c r="G2" s="72" t="s">
        <v>417</v>
      </c>
      <c r="H2" s="72" t="s">
        <v>436</v>
      </c>
    </row>
    <row r="3" spans="1:8" x14ac:dyDescent="0.25">
      <c r="A3" s="19" t="s">
        <v>438</v>
      </c>
      <c r="B3" s="41">
        <v>52100</v>
      </c>
      <c r="C3" s="53">
        <f>VLOOKUP(B3,$F$3:$H$7,3,1)</f>
        <v>0.05</v>
      </c>
      <c r="D3" s="37">
        <f>PRODUCT(B3,C3)</f>
        <v>2605</v>
      </c>
      <c r="F3" s="37">
        <v>0</v>
      </c>
      <c r="G3" s="41">
        <v>10000</v>
      </c>
      <c r="H3" s="53">
        <v>0.01</v>
      </c>
    </row>
    <row r="4" spans="1:8" x14ac:dyDescent="0.25">
      <c r="A4" s="19" t="s">
        <v>439</v>
      </c>
      <c r="B4" s="41">
        <v>9500</v>
      </c>
      <c r="C4" s="53">
        <f t="shared" ref="C4:C9" si="0">VLOOKUP(B4,$F$3:$H$7,3,1)</f>
        <v>0.01</v>
      </c>
      <c r="D4" s="37">
        <f t="shared" ref="D4:D9" si="1">PRODUCT(B4,C4)</f>
        <v>95</v>
      </c>
      <c r="F4" s="37">
        <v>10001</v>
      </c>
      <c r="G4" s="37">
        <v>20000</v>
      </c>
      <c r="H4" s="53">
        <v>0.02</v>
      </c>
    </row>
    <row r="5" spans="1:8" x14ac:dyDescent="0.25">
      <c r="A5" s="19" t="s">
        <v>440</v>
      </c>
      <c r="B5" s="41">
        <v>12458</v>
      </c>
      <c r="C5" s="53">
        <f t="shared" si="0"/>
        <v>0.02</v>
      </c>
      <c r="D5" s="37">
        <f t="shared" si="1"/>
        <v>249.16</v>
      </c>
      <c r="F5" s="37">
        <v>20001</v>
      </c>
      <c r="G5" s="37">
        <v>30000</v>
      </c>
      <c r="H5" s="53">
        <v>0.03</v>
      </c>
    </row>
    <row r="6" spans="1:8" x14ac:dyDescent="0.25">
      <c r="A6" s="19" t="s">
        <v>441</v>
      </c>
      <c r="B6" s="41">
        <v>25825</v>
      </c>
      <c r="C6" s="53">
        <f t="shared" si="0"/>
        <v>0.03</v>
      </c>
      <c r="D6" s="37">
        <f t="shared" si="1"/>
        <v>774.75</v>
      </c>
      <c r="F6" s="37">
        <v>30001</v>
      </c>
      <c r="G6" s="37">
        <v>50000</v>
      </c>
      <c r="H6" s="53">
        <v>0.04</v>
      </c>
    </row>
    <row r="7" spans="1:8" x14ac:dyDescent="0.25">
      <c r="A7" s="19" t="s">
        <v>443</v>
      </c>
      <c r="B7" s="41">
        <v>31500</v>
      </c>
      <c r="C7" s="53">
        <f t="shared" si="0"/>
        <v>0.04</v>
      </c>
      <c r="D7" s="37">
        <f t="shared" si="1"/>
        <v>1260</v>
      </c>
      <c r="F7" s="37">
        <v>50001</v>
      </c>
      <c r="G7" s="37">
        <v>100000</v>
      </c>
      <c r="H7" s="53">
        <v>0.05</v>
      </c>
    </row>
    <row r="8" spans="1:8" x14ac:dyDescent="0.25">
      <c r="A8" s="19" t="s">
        <v>444</v>
      </c>
      <c r="B8" s="41">
        <v>59458</v>
      </c>
      <c r="C8" s="53">
        <f t="shared" si="0"/>
        <v>0.05</v>
      </c>
      <c r="D8" s="37">
        <f t="shared" si="1"/>
        <v>2972.9</v>
      </c>
      <c r="F8" s="93"/>
      <c r="G8" s="93"/>
    </row>
    <row r="9" spans="1:8" x14ac:dyDescent="0.25">
      <c r="A9" s="19" t="s">
        <v>442</v>
      </c>
      <c r="B9" s="41">
        <v>21202</v>
      </c>
      <c r="C9" s="53">
        <f t="shared" si="0"/>
        <v>0.03</v>
      </c>
      <c r="D9" s="37">
        <f t="shared" si="1"/>
        <v>636.05999999999995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C464-85C4-4B73-8411-4D2E837C7530}">
  <dimension ref="A1:I6"/>
  <sheetViews>
    <sheetView workbookViewId="0">
      <selection activeCell="I2" sqref="I2"/>
    </sheetView>
  </sheetViews>
  <sheetFormatPr defaultColWidth="18.28515625" defaultRowHeight="15" x14ac:dyDescent="0.25"/>
  <cols>
    <col min="6" max="6" width="19.85546875" bestFit="1" customWidth="1"/>
    <col min="7" max="7" width="3.42578125" customWidth="1"/>
    <col min="9" max="9" width="22.85546875" customWidth="1"/>
  </cols>
  <sheetData>
    <row r="1" spans="1:9" x14ac:dyDescent="0.25">
      <c r="A1" s="124" t="s">
        <v>447</v>
      </c>
      <c r="B1" s="124"/>
      <c r="C1" s="124"/>
      <c r="D1" s="124"/>
      <c r="E1" s="124"/>
      <c r="F1" s="124"/>
      <c r="H1" s="129" t="s">
        <v>446</v>
      </c>
      <c r="I1" s="127"/>
    </row>
    <row r="2" spans="1:9" x14ac:dyDescent="0.25">
      <c r="A2" s="95" t="s">
        <v>121</v>
      </c>
      <c r="B2" s="94">
        <v>1</v>
      </c>
      <c r="C2" s="94">
        <v>2</v>
      </c>
      <c r="D2" s="94">
        <v>3</v>
      </c>
      <c r="E2" s="94">
        <v>4</v>
      </c>
      <c r="F2" s="94">
        <v>5</v>
      </c>
      <c r="H2" s="95" t="s">
        <v>121</v>
      </c>
      <c r="I2" s="94">
        <v>1</v>
      </c>
    </row>
    <row r="3" spans="1:9" x14ac:dyDescent="0.25">
      <c r="A3" s="95" t="s">
        <v>47</v>
      </c>
      <c r="B3" s="45" t="s">
        <v>67</v>
      </c>
      <c r="C3" s="45" t="s">
        <v>68</v>
      </c>
      <c r="D3" s="45" t="s">
        <v>69</v>
      </c>
      <c r="E3" s="45" t="s">
        <v>70</v>
      </c>
      <c r="F3" s="45" t="s">
        <v>71</v>
      </c>
      <c r="H3" s="95" t="s">
        <v>47</v>
      </c>
      <c r="I3" s="94" t="str">
        <f>HLOOKUP($I$2,$B$2:$F$6,2,0)</f>
        <v>Joana Ferreira</v>
      </c>
    </row>
    <row r="4" spans="1:9" x14ac:dyDescent="0.25">
      <c r="A4" s="95" t="s">
        <v>48</v>
      </c>
      <c r="B4" s="45" t="s">
        <v>56</v>
      </c>
      <c r="C4" s="45" t="s">
        <v>61</v>
      </c>
      <c r="D4" s="45" t="s">
        <v>448</v>
      </c>
      <c r="E4" s="45" t="s">
        <v>449</v>
      </c>
      <c r="F4" s="45" t="s">
        <v>60</v>
      </c>
      <c r="H4" s="95" t="s">
        <v>48</v>
      </c>
      <c r="I4" s="94" t="str">
        <f>HLOOKUP($I$2,$B$2:$F$6,3,0)</f>
        <v>Secretária</v>
      </c>
    </row>
    <row r="5" spans="1:9" x14ac:dyDescent="0.25">
      <c r="A5" s="95" t="s">
        <v>49</v>
      </c>
      <c r="B5" s="45" t="s">
        <v>51</v>
      </c>
      <c r="C5" s="45" t="s">
        <v>51</v>
      </c>
      <c r="D5" s="45" t="s">
        <v>52</v>
      </c>
      <c r="E5" s="45" t="s">
        <v>53</v>
      </c>
      <c r="F5" s="45" t="s">
        <v>52</v>
      </c>
      <c r="H5" s="95" t="s">
        <v>49</v>
      </c>
      <c r="I5" s="94" t="str">
        <f>HLOOKUP($I$2,$B$2:$F$6,4,0)</f>
        <v>Administração</v>
      </c>
    </row>
    <row r="6" spans="1:9" x14ac:dyDescent="0.25">
      <c r="A6" s="95" t="s">
        <v>50</v>
      </c>
      <c r="B6" s="41">
        <v>2800</v>
      </c>
      <c r="C6" s="41">
        <v>3290</v>
      </c>
      <c r="D6" s="41">
        <v>4500</v>
      </c>
      <c r="E6" s="41">
        <v>850</v>
      </c>
      <c r="F6" s="41">
        <v>2100</v>
      </c>
      <c r="H6" s="95" t="s">
        <v>50</v>
      </c>
      <c r="I6" s="64">
        <f>HLOOKUP($I$2,$B$2:$F$6,5,0)</f>
        <v>2800</v>
      </c>
    </row>
  </sheetData>
  <mergeCells count="2">
    <mergeCell ref="A1:F1"/>
    <mergeCell ref="H1:I1"/>
  </mergeCells>
  <dataValidations count="1">
    <dataValidation type="list" allowBlank="1" showInputMessage="1" showErrorMessage="1" sqref="I2" xr:uid="{0FF22856-4504-4267-9D27-FF5B1F317611}">
      <formula1>$B$2:$F$2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271F5-6E03-4E60-87F5-1F947934134B}">
  <dimension ref="A1:K15"/>
  <sheetViews>
    <sheetView workbookViewId="0">
      <selection activeCell="C10" sqref="C10"/>
    </sheetView>
  </sheetViews>
  <sheetFormatPr defaultColWidth="18.28515625" defaultRowHeight="15" x14ac:dyDescent="0.25"/>
  <cols>
    <col min="6" max="6" width="19.85546875" bestFit="1" customWidth="1"/>
    <col min="8" max="8" width="3.42578125" customWidth="1"/>
  </cols>
  <sheetData>
    <row r="1" spans="1:11" x14ac:dyDescent="0.25">
      <c r="A1" s="124" t="s">
        <v>447</v>
      </c>
      <c r="B1" s="124"/>
      <c r="C1" s="124"/>
      <c r="D1" s="124"/>
      <c r="E1" s="124"/>
      <c r="F1" s="124"/>
      <c r="G1" s="124"/>
      <c r="I1" s="96" t="s">
        <v>446</v>
      </c>
      <c r="J1" s="97"/>
    </row>
    <row r="2" spans="1:11" ht="30" x14ac:dyDescent="0.25">
      <c r="A2" s="112" t="s">
        <v>343</v>
      </c>
      <c r="B2" s="113" t="s">
        <v>450</v>
      </c>
      <c r="C2" s="113" t="s">
        <v>451</v>
      </c>
      <c r="D2" s="113" t="s">
        <v>452</v>
      </c>
      <c r="E2" s="113" t="s">
        <v>453</v>
      </c>
      <c r="F2" s="113" t="s">
        <v>454</v>
      </c>
      <c r="G2" s="113" t="s">
        <v>461</v>
      </c>
      <c r="I2" s="95" t="s">
        <v>121</v>
      </c>
      <c r="J2" s="94" t="s">
        <v>461</v>
      </c>
    </row>
    <row r="3" spans="1:11" x14ac:dyDescent="0.25">
      <c r="A3" s="100" t="s">
        <v>47</v>
      </c>
      <c r="B3" s="40" t="s">
        <v>457</v>
      </c>
      <c r="C3" s="40" t="s">
        <v>321</v>
      </c>
      <c r="D3" s="40" t="s">
        <v>458</v>
      </c>
      <c r="E3" s="40" t="s">
        <v>459</v>
      </c>
      <c r="F3" s="40" t="s">
        <v>460</v>
      </c>
      <c r="G3" s="104" t="s">
        <v>462</v>
      </c>
      <c r="I3" s="95" t="s">
        <v>47</v>
      </c>
      <c r="J3" s="94" t="str">
        <f>HLOOKUP($J$2,$B$2:$G$5,2,0)</f>
        <v>Michel</v>
      </c>
    </row>
    <row r="4" spans="1:11" x14ac:dyDescent="0.25">
      <c r="A4" s="100" t="s">
        <v>455</v>
      </c>
      <c r="B4" s="40" t="s">
        <v>463</v>
      </c>
      <c r="C4" s="40" t="s">
        <v>464</v>
      </c>
      <c r="D4" s="40" t="s">
        <v>465</v>
      </c>
      <c r="E4" s="40" t="s">
        <v>466</v>
      </c>
      <c r="F4" s="40" t="s">
        <v>467</v>
      </c>
      <c r="G4" s="110" t="s">
        <v>468</v>
      </c>
      <c r="I4" s="95" t="s">
        <v>48</v>
      </c>
      <c r="J4" s="94" t="str">
        <f>HLOOKUP($J$2,$B$2:$G$5,3,0)</f>
        <v>Suyama</v>
      </c>
    </row>
    <row r="5" spans="1:11" x14ac:dyDescent="0.25">
      <c r="A5" s="100" t="s">
        <v>456</v>
      </c>
      <c r="B5" s="111">
        <v>41001010</v>
      </c>
      <c r="C5" s="111">
        <v>41001011</v>
      </c>
      <c r="D5" s="111">
        <v>41001012</v>
      </c>
      <c r="E5" s="111">
        <v>41001013</v>
      </c>
      <c r="F5" s="111">
        <v>41001014</v>
      </c>
      <c r="G5" s="111">
        <v>41001015</v>
      </c>
      <c r="I5" s="95" t="s">
        <v>49</v>
      </c>
      <c r="J5" s="94">
        <f>HLOOKUP($J$2,$B$2:$G$5,4,0)</f>
        <v>41001015</v>
      </c>
    </row>
    <row r="6" spans="1:11" x14ac:dyDescent="0.25">
      <c r="A6" s="102"/>
      <c r="B6" s="103"/>
      <c r="C6" s="101"/>
      <c r="D6" s="101"/>
      <c r="E6" s="101"/>
      <c r="F6" s="101"/>
      <c r="I6" s="107"/>
      <c r="J6" s="108"/>
      <c r="K6" s="109"/>
    </row>
    <row r="7" spans="1:11" x14ac:dyDescent="0.25">
      <c r="I7" s="106"/>
    </row>
    <row r="8" spans="1:11" x14ac:dyDescent="0.25">
      <c r="K8" s="105"/>
    </row>
    <row r="15" spans="1:11" x14ac:dyDescent="0.25">
      <c r="F15" s="105"/>
    </row>
  </sheetData>
  <mergeCells count="1">
    <mergeCell ref="A1:G1"/>
  </mergeCells>
  <dataValidations count="1">
    <dataValidation type="list" allowBlank="1" showInputMessage="1" showErrorMessage="1" sqref="J2" xr:uid="{20290D85-BAC6-4279-9F62-636EF403079A}">
      <formula1>$B$2:$G$2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995-7E82-4DEE-9822-94466BC91098}">
  <dimension ref="A1:B16"/>
  <sheetViews>
    <sheetView tabSelected="1" workbookViewId="0">
      <selection activeCell="H20" sqref="H20"/>
    </sheetView>
  </sheetViews>
  <sheetFormatPr defaultColWidth="18.28515625" defaultRowHeight="15" x14ac:dyDescent="0.25"/>
  <cols>
    <col min="1" max="2" width="22.85546875" customWidth="1"/>
  </cols>
  <sheetData>
    <row r="1" spans="1:2" ht="30" customHeight="1" x14ac:dyDescent="0.25">
      <c r="A1" s="124" t="s">
        <v>469</v>
      </c>
      <c r="B1" s="124"/>
    </row>
    <row r="3" spans="1:2" x14ac:dyDescent="0.25">
      <c r="A3" s="98" t="s">
        <v>470</v>
      </c>
      <c r="B3" s="99" t="s">
        <v>471</v>
      </c>
    </row>
    <row r="4" spans="1:2" x14ac:dyDescent="0.25">
      <c r="A4" s="45" t="s">
        <v>472</v>
      </c>
      <c r="B4" s="53">
        <v>0.95</v>
      </c>
    </row>
    <row r="5" spans="1:2" x14ac:dyDescent="0.25">
      <c r="A5" s="45" t="s">
        <v>473</v>
      </c>
      <c r="B5" s="53">
        <v>0.84</v>
      </c>
    </row>
    <row r="6" spans="1:2" x14ac:dyDescent="0.25">
      <c r="A6" s="45" t="s">
        <v>474</v>
      </c>
      <c r="B6" s="53">
        <v>0.74</v>
      </c>
    </row>
    <row r="7" spans="1:2" x14ac:dyDescent="0.25">
      <c r="A7" s="45" t="s">
        <v>475</v>
      </c>
      <c r="B7" s="53">
        <v>0.62</v>
      </c>
    </row>
    <row r="8" spans="1:2" x14ac:dyDescent="0.25">
      <c r="A8" s="45" t="s">
        <v>476</v>
      </c>
      <c r="B8" s="53">
        <v>0.61</v>
      </c>
    </row>
    <row r="9" spans="1:2" x14ac:dyDescent="0.25">
      <c r="A9" s="45" t="s">
        <v>477</v>
      </c>
      <c r="B9" s="53">
        <v>0.32</v>
      </c>
    </row>
    <row r="10" spans="1:2" x14ac:dyDescent="0.25">
      <c r="A10" s="45" t="s">
        <v>478</v>
      </c>
      <c r="B10" s="53">
        <v>0.31</v>
      </c>
    </row>
    <row r="11" spans="1:2" x14ac:dyDescent="0.25">
      <c r="A11" s="45" t="s">
        <v>479</v>
      </c>
      <c r="B11" s="53">
        <v>0.24</v>
      </c>
    </row>
    <row r="12" spans="1:2" x14ac:dyDescent="0.25">
      <c r="A12" s="45" t="s">
        <v>480</v>
      </c>
      <c r="B12" s="53">
        <v>0.19</v>
      </c>
    </row>
    <row r="13" spans="1:2" x14ac:dyDescent="0.25">
      <c r="A13" s="45" t="s">
        <v>481</v>
      </c>
      <c r="B13" s="53">
        <v>0.08</v>
      </c>
    </row>
    <row r="16" spans="1:2" ht="15" customHeight="1" x14ac:dyDescent="0.25"/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  <vt:lpstr>32-Procv Aproximado 1</vt:lpstr>
      <vt:lpstr>33-Procv Aproximado 2</vt:lpstr>
      <vt:lpstr>34-Proch Exato 1</vt:lpstr>
      <vt:lpstr>35-Proch Exato 2</vt:lpstr>
      <vt:lpstr>36-Grafico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2026-03-03T00:02:07Z</dcterms:modified>
</cp:coreProperties>
</file>