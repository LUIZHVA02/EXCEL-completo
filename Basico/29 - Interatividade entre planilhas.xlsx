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ck.alunos\Desktop\Luiz Henrique Vidal Araujo - Excel completo\"/>
    </mc:Choice>
  </mc:AlternateContent>
  <xr:revisionPtr revIDLastSave="0" documentId="8_{AE2491D9-D142-4646-8242-5B0E99F3E08D}" xr6:coauthVersionLast="36" xr6:coauthVersionMax="36" xr10:uidLastSave="{00000000-0000-0000-0000-000000000000}"/>
  <bookViews>
    <workbookView xWindow="0" yWindow="0" windowWidth="28800" windowHeight="12105" activeTab="1" xr2:uid="{1B4FCB80-AD4E-40F6-8876-65982C2A6FD6}"/>
  </bookViews>
  <sheets>
    <sheet name="Gastos Pessoais" sheetId="1" r:id="rId1"/>
    <sheet name="Resumo de Gastos" sheetId="2" r:id="rId2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" i="2" l="1"/>
  <c r="E4" i="2"/>
  <c r="E3" i="2"/>
  <c r="D5" i="2"/>
  <c r="D4" i="2"/>
  <c r="D3" i="2"/>
  <c r="C5" i="2"/>
  <c r="C4" i="2"/>
  <c r="C3" i="2"/>
  <c r="B5" i="2"/>
  <c r="B4" i="2"/>
  <c r="B3" i="2"/>
</calcChain>
</file>

<file path=xl/sharedStrings.xml><?xml version="1.0" encoding="utf-8"?>
<sst xmlns="http://schemas.openxmlformats.org/spreadsheetml/2006/main" count="24" uniqueCount="20">
  <si>
    <t>INTERATIVIDADE ENTRE PLANILHAS</t>
  </si>
  <si>
    <t>RESUMO DOS GASTOS POR MÊS</t>
  </si>
  <si>
    <t>TOTAL DOS GASTOS POR MÊS</t>
  </si>
  <si>
    <t>MÉDIA DE GASTOS NO MÊS</t>
  </si>
  <si>
    <t>MAIOR VALOR GASTO NO MÊS</t>
  </si>
  <si>
    <t>MENOR VALOR GASTO NO MÊS</t>
  </si>
  <si>
    <t>JANEIRO</t>
  </si>
  <si>
    <t>FEVEREIRO</t>
  </si>
  <si>
    <t>MARÇO</t>
  </si>
  <si>
    <t>GASTOS PESSOAIS</t>
  </si>
  <si>
    <t>ÁGUA</t>
  </si>
  <si>
    <t>LUZ</t>
  </si>
  <si>
    <t>GÁS</t>
  </si>
  <si>
    <t>TELEFONE</t>
  </si>
  <si>
    <t>TV</t>
  </si>
  <si>
    <t>INTERNET</t>
  </si>
  <si>
    <t>CELULAR</t>
  </si>
  <si>
    <t>TRANSPORTE</t>
  </si>
  <si>
    <t>ALIMENTAÇÃO</t>
  </si>
  <si>
    <t>CARTÃO DE CRÉDITO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</si>
</sst>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44" fontId="0" fillId="0" borderId="1" xfId="1" applyFont="1" applyBorder="1" applyAlignment="1">
      <alignment horizontal="center" vertical="center"/>
    </xf>
    <xf numFmtId="44" fontId="0" fillId="0" borderId="0" xfId="1" applyFont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64C89-6294-40DA-8D48-798E4C475B18}">
  <dimension ref="A1:D12"/>
  <sheetViews>
    <sheetView workbookViewId="0">
      <selection activeCell="C13" sqref="C13"/>
    </sheetView>
  </sheetViews>
  <sheetFormatPr defaultColWidth="18.28515625" defaultRowHeight="15" x14ac:dyDescent="0.25"/>
  <cols>
    <col min="1" max="1" width="22.85546875" customWidth="1"/>
  </cols>
  <sheetData>
    <row r="1" spans="1:4" x14ac:dyDescent="0.25">
      <c r="A1" s="3" t="s">
        <v>0</v>
      </c>
      <c r="B1" s="3"/>
      <c r="C1" s="3"/>
      <c r="D1" s="3"/>
    </row>
    <row r="2" spans="1:4" x14ac:dyDescent="0.25">
      <c r="A2" s="2" t="s">
        <v>9</v>
      </c>
      <c r="B2" s="2" t="s">
        <v>6</v>
      </c>
      <c r="C2" s="2" t="s">
        <v>7</v>
      </c>
      <c r="D2" s="2" t="s">
        <v>8</v>
      </c>
    </row>
    <row r="3" spans="1:4" x14ac:dyDescent="0.25">
      <c r="A3" s="5" t="s">
        <v>10</v>
      </c>
      <c r="B3" s="6">
        <v>88</v>
      </c>
      <c r="C3" s="6">
        <v>90</v>
      </c>
      <c r="D3" s="6">
        <v>120</v>
      </c>
    </row>
    <row r="4" spans="1:4" x14ac:dyDescent="0.25">
      <c r="A4" s="5" t="s">
        <v>11</v>
      </c>
      <c r="B4" s="6">
        <v>123</v>
      </c>
      <c r="C4" s="6">
        <v>87</v>
      </c>
      <c r="D4" s="6">
        <v>100</v>
      </c>
    </row>
    <row r="5" spans="1:4" x14ac:dyDescent="0.25">
      <c r="A5" s="5" t="s">
        <v>12</v>
      </c>
      <c r="B5" s="6">
        <v>26</v>
      </c>
      <c r="C5" s="6">
        <v>26</v>
      </c>
      <c r="D5" s="6">
        <v>26</v>
      </c>
    </row>
    <row r="6" spans="1:4" x14ac:dyDescent="0.25">
      <c r="A6" s="5" t="s">
        <v>13</v>
      </c>
      <c r="B6" s="7">
        <v>112</v>
      </c>
      <c r="C6" s="6">
        <v>85</v>
      </c>
      <c r="D6" s="6">
        <v>150</v>
      </c>
    </row>
    <row r="7" spans="1:4" x14ac:dyDescent="0.25">
      <c r="A7" s="5" t="s">
        <v>14</v>
      </c>
      <c r="B7" s="6">
        <v>80</v>
      </c>
      <c r="C7" s="6">
        <v>80</v>
      </c>
      <c r="D7" s="6">
        <v>80</v>
      </c>
    </row>
    <row r="8" spans="1:4" x14ac:dyDescent="0.25">
      <c r="A8" s="5" t="s">
        <v>15</v>
      </c>
      <c r="B8" s="6">
        <v>100</v>
      </c>
      <c r="C8" s="6">
        <v>100</v>
      </c>
      <c r="D8" s="6">
        <v>100</v>
      </c>
    </row>
    <row r="9" spans="1:4" x14ac:dyDescent="0.25">
      <c r="A9" s="5" t="s">
        <v>16</v>
      </c>
      <c r="B9" s="6">
        <v>50</v>
      </c>
      <c r="C9" s="6">
        <v>50</v>
      </c>
      <c r="D9" s="6">
        <v>50</v>
      </c>
    </row>
    <row r="10" spans="1:4" x14ac:dyDescent="0.25">
      <c r="A10" s="5" t="s">
        <v>17</v>
      </c>
      <c r="B10" s="6">
        <v>350</v>
      </c>
      <c r="C10" s="6">
        <v>380</v>
      </c>
      <c r="D10" s="6">
        <v>370</v>
      </c>
    </row>
    <row r="11" spans="1:4" x14ac:dyDescent="0.25">
      <c r="A11" s="5" t="s">
        <v>18</v>
      </c>
      <c r="B11" s="6">
        <v>500</v>
      </c>
      <c r="C11" s="6">
        <v>555</v>
      </c>
      <c r="D11" s="6">
        <v>600</v>
      </c>
    </row>
    <row r="12" spans="1:4" x14ac:dyDescent="0.25">
      <c r="A12" s="5" t="s">
        <v>19</v>
      </c>
      <c r="B12" s="6">
        <v>1200</v>
      </c>
      <c r="C12" s="6">
        <v>1700</v>
      </c>
      <c r="D12" s="6">
        <v>1150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600CA-0324-4E09-998B-2FF2B4EFE4F3}">
  <dimension ref="A1:E5"/>
  <sheetViews>
    <sheetView tabSelected="1" workbookViewId="0">
      <selection activeCell="A6" sqref="A6"/>
    </sheetView>
  </sheetViews>
  <sheetFormatPr defaultColWidth="18.28515625" defaultRowHeight="15" x14ac:dyDescent="0.25"/>
  <sheetData>
    <row r="1" spans="1:5" x14ac:dyDescent="0.25">
      <c r="A1" s="3" t="s">
        <v>0</v>
      </c>
      <c r="B1" s="3"/>
      <c r="C1" s="3"/>
      <c r="D1" s="3"/>
      <c r="E1" s="3"/>
    </row>
    <row r="2" spans="1:5" ht="30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 spans="1:5" x14ac:dyDescent="0.25">
      <c r="A3" s="1" t="s">
        <v>6</v>
      </c>
      <c r="B3" s="6">
        <f>SUM('Gastos Pessoais'!$B$3:$B$12,)</f>
        <v>2629</v>
      </c>
      <c r="C3" s="6">
        <f>AVERAGE('Gastos Pessoais'!$B$3:$B$12,)</f>
        <v>239</v>
      </c>
      <c r="D3" s="6">
        <f>MAX('Gastos Pessoais'!$B$3:$B$12,)</f>
        <v>1200</v>
      </c>
      <c r="E3" s="6">
        <f>MIN('Gastos Pessoais'!$B$3:$B$12)</f>
        <v>26</v>
      </c>
    </row>
    <row r="4" spans="1:5" x14ac:dyDescent="0.25">
      <c r="A4" s="1" t="s">
        <v>7</v>
      </c>
      <c r="B4" s="6">
        <f>SUM('Gastos Pessoais'!$C$3:$C$12)</f>
        <v>3153</v>
      </c>
      <c r="C4" s="6">
        <f>AVERAGE('Gastos Pessoais'!$C$3:$C$12)</f>
        <v>315.3</v>
      </c>
      <c r="D4" s="6">
        <f>MAX('Gastos Pessoais'!$C$3:$C$12)</f>
        <v>1700</v>
      </c>
      <c r="E4" s="6">
        <f>MIN('Gastos Pessoais'!$C$3:$C$12)</f>
        <v>26</v>
      </c>
    </row>
    <row r="5" spans="1:5" x14ac:dyDescent="0.25">
      <c r="A5" s="1" t="s">
        <v>8</v>
      </c>
      <c r="B5" s="6">
        <f>SUM('Gastos Pessoais'!$D$3:$D$12)</f>
        <v>2746</v>
      </c>
      <c r="C5" s="6">
        <f>AVERAGE('Gastos Pessoais'!$D$3:$D$12)</f>
        <v>274.60000000000002</v>
      </c>
      <c r="D5" s="6">
        <f>MAX('Gastos Pessoais'!$D$3:$D$12)</f>
        <v>1150</v>
      </c>
      <c r="E5" s="6">
        <f>MIN('Gastos Pessoais'!$D$3:$D$12)</f>
        <v>26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  <pageSetup paperSize="9" orientation="portrait" r:id="rId1"/>
  <ignoredErrors>
    <ignoredError sqref="C3:C5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Gastos Pessoais</vt:lpstr>
      <vt:lpstr>Resumo de Gastos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WILCK GOMES DE OLIVEIRA</dc:creator>
  <cp:lastModifiedBy>WILCK GOMES DE OLIVEIRA</cp:lastModifiedBy>
  <dcterms:created xsi:type="dcterms:W3CDTF">2026-02-25T23:02:02Z</dcterms:created>
  <dcterms:modified xsi:type="dcterms:W3CDTF">2026-02-26T00:06:34Z</dcterms:modified>
</cp:coreProperties>
</file>