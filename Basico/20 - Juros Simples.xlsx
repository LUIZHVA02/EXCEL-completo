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E1344508-6BF5-4003-9C0E-1FBE1B2DD626}" xr6:coauthVersionLast="36" xr6:coauthVersionMax="36" xr10:uidLastSave="{00000000-0000-0000-0000-000000000000}"/>
  <bookViews>
    <workbookView xWindow="0" yWindow="0" windowWidth="15360" windowHeight="7425" firstSheet="14" activeTab="16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8" l="1"/>
  <c r="F17" i="18"/>
  <c r="F16" i="18"/>
  <c r="F15" i="18"/>
  <c r="G4" i="21" l="1"/>
  <c r="G5" i="21"/>
  <c r="G6" i="21"/>
  <c r="G7" i="21"/>
  <c r="G8" i="21"/>
  <c r="G9" i="21"/>
  <c r="G10" i="21"/>
  <c r="G3" i="21"/>
  <c r="F4" i="21"/>
  <c r="F5" i="21"/>
  <c r="F6" i="21"/>
  <c r="F7" i="21"/>
  <c r="F8" i="21"/>
  <c r="F9" i="21"/>
  <c r="F10" i="21"/>
  <c r="F3" i="21"/>
  <c r="D18" i="20" l="1"/>
  <c r="D17" i="20"/>
  <c r="D16" i="20"/>
  <c r="D15" i="20"/>
  <c r="D10" i="20"/>
  <c r="D11" i="20"/>
  <c r="D12" i="20"/>
  <c r="D13" i="20"/>
  <c r="D9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C3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<sst xmlns="http://schemas.openxmlformats.org/spreadsheetml/2006/main" count="282" uniqueCount="233">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</sst>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56" t="s">
        <v>0</v>
      </c>
      <c r="B1" s="56"/>
      <c r="C1" s="56"/>
      <c r="D1" s="56"/>
    </row>
    <row r="2" spans="1:4" x14ac:dyDescent="0.25">
      <c r="A2" s="57" t="s">
        <v>1</v>
      </c>
      <c r="B2" s="58" t="s">
        <v>2</v>
      </c>
      <c r="C2" s="2">
        <v>23</v>
      </c>
      <c r="D2" s="1">
        <f>C2</f>
        <v>23</v>
      </c>
    </row>
    <row r="3" spans="1:4" x14ac:dyDescent="0.25">
      <c r="A3" s="57"/>
      <c r="B3" s="58"/>
      <c r="C3" s="3">
        <v>0.1</v>
      </c>
      <c r="D3" s="10">
        <f t="shared" ref="D3:D6" si="0">C3</f>
        <v>0.1</v>
      </c>
    </row>
    <row r="4" spans="1:4" x14ac:dyDescent="0.25">
      <c r="A4" s="57"/>
      <c r="B4" s="58"/>
      <c r="C4">
        <v>2.58</v>
      </c>
      <c r="D4" s="9">
        <f t="shared" si="0"/>
        <v>2.58</v>
      </c>
    </row>
    <row r="5" spans="1:4" x14ac:dyDescent="0.25">
      <c r="A5" s="57"/>
      <c r="B5" s="58"/>
      <c r="C5" s="4">
        <v>1000</v>
      </c>
      <c r="D5" s="11">
        <f t="shared" si="0"/>
        <v>1000</v>
      </c>
    </row>
    <row r="6" spans="1:4" x14ac:dyDescent="0.25">
      <c r="A6" s="57"/>
      <c r="B6" s="58"/>
      <c r="C6" s="5">
        <v>42567</v>
      </c>
      <c r="D6" s="8">
        <f t="shared" si="0"/>
        <v>42567</v>
      </c>
    </row>
    <row r="7" spans="1:4" ht="30" x14ac:dyDescent="0.25">
      <c r="A7" s="57"/>
      <c r="B7" s="58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59" t="s">
        <v>41</v>
      </c>
      <c r="B1" s="59"/>
      <c r="C1" s="59"/>
      <c r="D1" s="59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60" t="s">
        <v>46</v>
      </c>
      <c r="B1" s="60"/>
      <c r="C1" s="60"/>
      <c r="D1" s="60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61" t="s">
        <v>78</v>
      </c>
      <c r="B1" s="61"/>
      <c r="C1" s="61"/>
      <c r="D1" s="61"/>
      <c r="E1" s="61"/>
      <c r="F1" s="61"/>
      <c r="G1" s="61"/>
      <c r="H1" s="61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2" t="s">
        <v>95</v>
      </c>
      <c r="B1" s="62"/>
      <c r="C1" s="62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2" sqref="E2"/>
    </sheetView>
  </sheetViews>
  <sheetFormatPr defaultRowHeight="15" x14ac:dyDescent="0.25"/>
  <cols>
    <col min="1" max="4" width="18.28515625" customWidth="1"/>
  </cols>
  <sheetData>
    <row r="1" spans="1:4" x14ac:dyDescent="0.25">
      <c r="A1" s="62" t="s">
        <v>99</v>
      </c>
      <c r="B1" s="62"/>
      <c r="C1" s="62"/>
      <c r="D1" s="62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3" t="s">
        <v>99</v>
      </c>
      <c r="B1" s="64"/>
      <c r="C1" s="65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E21" sqref="E21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62" t="s">
        <v>104</v>
      </c>
      <c r="B1" s="62"/>
      <c r="C1" s="62"/>
      <c r="D1" s="62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63" t="s">
        <v>104</v>
      </c>
      <c r="B1" s="64"/>
      <c r="C1" s="65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62" t="s">
        <v>112</v>
      </c>
      <c r="B1" s="62"/>
      <c r="C1" s="62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62" t="s">
        <v>112</v>
      </c>
      <c r="B1" s="62"/>
      <c r="C1" s="62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C2" sqref="C2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66" t="s">
        <v>113</v>
      </c>
      <c r="B1" s="66"/>
      <c r="C1" s="66"/>
      <c r="D1" s="66"/>
      <c r="E1" s="66"/>
      <c r="F1" s="66"/>
      <c r="G1" s="66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66" t="s">
        <v>120</v>
      </c>
      <c r="B1" s="67"/>
      <c r="C1" s="67"/>
      <c r="D1" s="67"/>
      <c r="E1" s="67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68" t="s">
        <v>146</v>
      </c>
      <c r="D13" s="69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D15" sqref="D15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68" t="s">
        <v>148</v>
      </c>
      <c r="B1" s="70"/>
      <c r="C1" s="69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71" t="s">
        <v>159</v>
      </c>
      <c r="B1" s="72"/>
      <c r="C1" s="72"/>
      <c r="D1" s="73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tabSelected="1" workbookViewId="0">
      <selection activeCell="F19" sqref="F19"/>
    </sheetView>
  </sheetViews>
  <sheetFormatPr defaultColWidth="18.28515625" defaultRowHeight="15" x14ac:dyDescent="0.25"/>
  <sheetData>
    <row r="1" spans="1:6" x14ac:dyDescent="0.25">
      <c r="A1" s="71" t="s">
        <v>171</v>
      </c>
      <c r="B1" s="72"/>
      <c r="C1" s="72"/>
      <c r="D1" s="72"/>
      <c r="E1" s="72"/>
      <c r="F1" s="73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49" t="s">
        <v>181</v>
      </c>
      <c r="B3" s="48">
        <v>41641</v>
      </c>
      <c r="C3" s="48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49" t="s">
        <v>182</v>
      </c>
      <c r="B4" s="48">
        <v>41640</v>
      </c>
      <c r="C4" s="48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49" t="s">
        <v>183</v>
      </c>
      <c r="B5" s="48">
        <v>41644</v>
      </c>
      <c r="C5" s="48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49" t="s">
        <v>184</v>
      </c>
      <c r="B6" s="48">
        <v>41649</v>
      </c>
      <c r="C6" s="48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49" t="s">
        <v>185</v>
      </c>
      <c r="B7" s="48">
        <v>41657</v>
      </c>
      <c r="C7" s="48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49" t="s">
        <v>186</v>
      </c>
      <c r="B8" s="48">
        <v>41646</v>
      </c>
      <c r="C8" s="48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49" t="s">
        <v>187</v>
      </c>
      <c r="B9" s="48">
        <v>41645</v>
      </c>
      <c r="C9" s="48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49" t="s">
        <v>188</v>
      </c>
      <c r="B10" s="48">
        <v>41651</v>
      </c>
      <c r="C10" s="48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49" t="s">
        <v>189</v>
      </c>
      <c r="B11" s="48">
        <v>41660</v>
      </c>
      <c r="C11" s="48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49" t="s">
        <v>190</v>
      </c>
      <c r="B12" s="48">
        <v>41657</v>
      </c>
      <c r="C12" s="48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49" t="s">
        <v>191</v>
      </c>
      <c r="B13" s="48">
        <v>41642</v>
      </c>
      <c r="C13" s="48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49" t="s">
        <v>192</v>
      </c>
      <c r="B14" s="48">
        <v>41646</v>
      </c>
      <c r="C14" s="48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67" t="s">
        <v>177</v>
      </c>
      <c r="E15" s="67"/>
      <c r="F15" s="26">
        <f>SUM(F3:F14)</f>
        <v>8669.24</v>
      </c>
    </row>
    <row r="16" spans="1:6" x14ac:dyDescent="0.25">
      <c r="D16" s="67" t="s">
        <v>178</v>
      </c>
      <c r="E16" s="67"/>
      <c r="F16" s="26">
        <f>AVERAGE(F3:F14)</f>
        <v>722.43666666666661</v>
      </c>
    </row>
    <row r="17" spans="4:6" x14ac:dyDescent="0.25">
      <c r="D17" s="67" t="s">
        <v>179</v>
      </c>
      <c r="E17" s="67"/>
      <c r="F17" s="26">
        <f>MAX(F3:F14)</f>
        <v>1670.3999999999999</v>
      </c>
    </row>
    <row r="18" spans="4:6" x14ac:dyDescent="0.25">
      <c r="D18" s="67" t="s">
        <v>180</v>
      </c>
      <c r="E18" s="67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G2" sqref="G2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74" t="s">
        <v>198</v>
      </c>
      <c r="B1" s="74"/>
      <c r="C1" s="74"/>
      <c r="D1" s="74"/>
      <c r="E1" s="74"/>
      <c r="F1" s="74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1">
        <v>0.4</v>
      </c>
      <c r="D3" s="43">
        <f>B3*C$3</f>
        <v>26.400000000000002</v>
      </c>
      <c r="E3" s="52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F26" sqref="F26"/>
    </sheetView>
  </sheetViews>
  <sheetFormatPr defaultColWidth="18.28515625" defaultRowHeight="15" x14ac:dyDescent="0.25"/>
  <sheetData>
    <row r="1" spans="1:4" x14ac:dyDescent="0.25">
      <c r="A1" s="74" t="s">
        <v>206</v>
      </c>
      <c r="B1" s="74"/>
      <c r="C1" s="74"/>
      <c r="D1" s="74"/>
    </row>
    <row r="2" spans="1:4" x14ac:dyDescent="0.25">
      <c r="A2" s="50" t="s">
        <v>208</v>
      </c>
      <c r="B2" s="75" t="s">
        <v>210</v>
      </c>
      <c r="C2" s="76"/>
      <c r="D2" s="77"/>
    </row>
    <row r="3" spans="1:4" x14ac:dyDescent="0.25">
      <c r="A3" s="50" t="s">
        <v>43</v>
      </c>
      <c r="B3" s="78">
        <v>5144230</v>
      </c>
      <c r="C3" s="79"/>
      <c r="D3" s="80"/>
    </row>
    <row r="4" spans="1:4" x14ac:dyDescent="0.25">
      <c r="A4" s="50" t="s">
        <v>207</v>
      </c>
      <c r="B4" s="75" t="s">
        <v>211</v>
      </c>
      <c r="C4" s="76"/>
      <c r="D4" s="77"/>
    </row>
    <row r="5" spans="1:4" x14ac:dyDescent="0.25">
      <c r="A5" s="50" t="s">
        <v>154</v>
      </c>
      <c r="B5" s="81">
        <v>33337878</v>
      </c>
      <c r="C5" s="82"/>
      <c r="D5" s="83"/>
    </row>
    <row r="7" spans="1:4" x14ac:dyDescent="0.25">
      <c r="A7" s="74" t="s">
        <v>205</v>
      </c>
      <c r="B7" s="74"/>
      <c r="C7" s="74"/>
      <c r="D7" s="74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68" t="s">
        <v>209</v>
      </c>
      <c r="C15" s="69"/>
      <c r="D15" s="26">
        <f>SUM(D9:D13)</f>
        <v>42790</v>
      </c>
    </row>
    <row r="16" spans="1:4" x14ac:dyDescent="0.25">
      <c r="B16" s="39" t="s">
        <v>201</v>
      </c>
      <c r="C16" s="53">
        <v>0.18</v>
      </c>
      <c r="D16" s="26">
        <f>$D$15*C16</f>
        <v>7702.2</v>
      </c>
    </row>
    <row r="17" spans="2:4" x14ac:dyDescent="0.25">
      <c r="B17" s="39" t="s">
        <v>202</v>
      </c>
      <c r="C17" s="52">
        <v>0.05</v>
      </c>
      <c r="D17" s="26">
        <f>$D$15*C17</f>
        <v>2139.5</v>
      </c>
    </row>
    <row r="18" spans="2:4" x14ac:dyDescent="0.25">
      <c r="B18" s="68" t="s">
        <v>200</v>
      </c>
      <c r="C18" s="69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0"/>
  <sheetViews>
    <sheetView workbookViewId="0">
      <selection activeCell="F4" sqref="F4"/>
    </sheetView>
  </sheetViews>
  <sheetFormatPr defaultColWidth="18.28515625" defaultRowHeight="15" x14ac:dyDescent="0.25"/>
  <sheetData>
    <row r="1" spans="1:7" ht="15.75" x14ac:dyDescent="0.25">
      <c r="A1" s="84" t="s">
        <v>217</v>
      </c>
      <c r="B1" s="85"/>
      <c r="C1" s="85"/>
      <c r="D1" s="85"/>
      <c r="E1" s="85"/>
      <c r="F1" s="85"/>
      <c r="G1" s="85"/>
    </row>
    <row r="2" spans="1:7" ht="47.25" x14ac:dyDescent="0.25">
      <c r="A2" s="54" t="s">
        <v>218</v>
      </c>
      <c r="B2" s="54" t="s">
        <v>219</v>
      </c>
      <c r="C2" s="54" t="s">
        <v>220</v>
      </c>
      <c r="D2" s="54" t="s">
        <v>221</v>
      </c>
      <c r="E2" s="54" t="s">
        <v>222</v>
      </c>
      <c r="F2" s="54" t="s">
        <v>224</v>
      </c>
      <c r="G2" s="54" t="s">
        <v>223</v>
      </c>
    </row>
    <row r="3" spans="1:7" x14ac:dyDescent="0.25">
      <c r="A3" s="42">
        <v>12748</v>
      </c>
      <c r="B3" s="55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5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0" si="1">SUM(F4,C4)</f>
        <v>524.70000000000005</v>
      </c>
    </row>
    <row r="5" spans="1:7" x14ac:dyDescent="0.25">
      <c r="A5" s="42">
        <v>4478</v>
      </c>
      <c r="B5" s="55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5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5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5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5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5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2026-02-25T00:49:34Z</dcterms:modified>
</cp:coreProperties>
</file>