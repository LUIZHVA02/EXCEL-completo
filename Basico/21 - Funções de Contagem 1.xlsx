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EXCEL-completo\Basico\"/>
    </mc:Choice>
  </mc:AlternateContent>
  <xr:revisionPtr revIDLastSave="0" documentId="13_ncr:1_{54FE5797-47D3-4F67-86B4-A4770731CBB8}" xr6:coauthVersionLast="36" xr6:coauthVersionMax="36" xr10:uidLastSave="{00000000-0000-0000-0000-000000000000}"/>
  <bookViews>
    <workbookView xWindow="0" yWindow="0" windowWidth="15360" windowHeight="7425" firstSheet="15" activeTab="20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E3" i="22" l="1"/>
  <c r="E5" i="22"/>
  <c r="E4" i="22"/>
  <c r="E2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<sst xmlns="http://schemas.openxmlformats.org/spreadsheetml/2006/main" count="291" uniqueCount="242">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</sst>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57" t="s">
        <v>0</v>
      </c>
      <c r="B1" s="57"/>
      <c r="C1" s="57"/>
      <c r="D1" s="57"/>
    </row>
    <row r="2" spans="1:4" x14ac:dyDescent="0.25">
      <c r="A2" s="58" t="s">
        <v>1</v>
      </c>
      <c r="B2" s="59" t="s">
        <v>2</v>
      </c>
      <c r="C2" s="2">
        <v>23</v>
      </c>
      <c r="D2" s="1">
        <f>C2</f>
        <v>23</v>
      </c>
    </row>
    <row r="3" spans="1:4" x14ac:dyDescent="0.25">
      <c r="A3" s="58"/>
      <c r="B3" s="59"/>
      <c r="C3" s="3">
        <v>0.1</v>
      </c>
      <c r="D3" s="10">
        <f t="shared" ref="D3:D6" si="0">C3</f>
        <v>0.1</v>
      </c>
    </row>
    <row r="4" spans="1:4" x14ac:dyDescent="0.25">
      <c r="A4" s="58"/>
      <c r="B4" s="59"/>
      <c r="C4">
        <v>2.58</v>
      </c>
      <c r="D4" s="9">
        <f t="shared" si="0"/>
        <v>2.58</v>
      </c>
    </row>
    <row r="5" spans="1:4" x14ac:dyDescent="0.25">
      <c r="A5" s="58"/>
      <c r="B5" s="59"/>
      <c r="C5" s="4">
        <v>1000</v>
      </c>
      <c r="D5" s="11">
        <f t="shared" si="0"/>
        <v>1000</v>
      </c>
    </row>
    <row r="6" spans="1:4" x14ac:dyDescent="0.25">
      <c r="A6" s="58"/>
      <c r="B6" s="59"/>
      <c r="C6" s="5">
        <v>42567</v>
      </c>
      <c r="D6" s="8">
        <f t="shared" si="0"/>
        <v>42567</v>
      </c>
    </row>
    <row r="7" spans="1:4" ht="30" x14ac:dyDescent="0.25">
      <c r="A7" s="58"/>
      <c r="B7" s="59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60" t="s">
        <v>41</v>
      </c>
      <c r="B1" s="60"/>
      <c r="C1" s="60"/>
      <c r="D1" s="60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61" t="s">
        <v>46</v>
      </c>
      <c r="B1" s="61"/>
      <c r="C1" s="61"/>
      <c r="D1" s="61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62" t="s">
        <v>78</v>
      </c>
      <c r="B1" s="62"/>
      <c r="C1" s="62"/>
      <c r="D1" s="62"/>
      <c r="E1" s="62"/>
      <c r="F1" s="62"/>
      <c r="G1" s="62"/>
      <c r="H1" s="62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3" t="s">
        <v>95</v>
      </c>
      <c r="B1" s="63"/>
      <c r="C1" s="63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63" t="s">
        <v>99</v>
      </c>
      <c r="B1" s="63"/>
      <c r="C1" s="63"/>
      <c r="D1" s="63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4" t="s">
        <v>99</v>
      </c>
      <c r="B1" s="65"/>
      <c r="C1" s="66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63" t="s">
        <v>104</v>
      </c>
      <c r="B1" s="63"/>
      <c r="C1" s="63"/>
      <c r="D1" s="63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64" t="s">
        <v>104</v>
      </c>
      <c r="B1" s="65"/>
      <c r="C1" s="66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63" t="s">
        <v>112</v>
      </c>
      <c r="B1" s="63"/>
      <c r="C1" s="63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63" t="s">
        <v>112</v>
      </c>
      <c r="B1" s="63"/>
      <c r="C1" s="63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67" t="s">
        <v>113</v>
      </c>
      <c r="B1" s="67"/>
      <c r="C1" s="67"/>
      <c r="D1" s="67"/>
      <c r="E1" s="67"/>
      <c r="F1" s="67"/>
      <c r="G1" s="67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67" t="s">
        <v>120</v>
      </c>
      <c r="B1" s="68"/>
      <c r="C1" s="68"/>
      <c r="D1" s="68"/>
      <c r="E1" s="68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9" t="s">
        <v>146</v>
      </c>
      <c r="D13" s="70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9" t="s">
        <v>148</v>
      </c>
      <c r="B1" s="71"/>
      <c r="C1" s="70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72" t="s">
        <v>159</v>
      </c>
      <c r="B1" s="73"/>
      <c r="C1" s="73"/>
      <c r="D1" s="74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72" t="s">
        <v>171</v>
      </c>
      <c r="B1" s="73"/>
      <c r="C1" s="73"/>
      <c r="D1" s="73"/>
      <c r="E1" s="73"/>
      <c r="F1" s="74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49" t="s">
        <v>181</v>
      </c>
      <c r="B3" s="48">
        <v>41641</v>
      </c>
      <c r="C3" s="48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49" t="s">
        <v>182</v>
      </c>
      <c r="B4" s="48">
        <v>41640</v>
      </c>
      <c r="C4" s="48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49" t="s">
        <v>183</v>
      </c>
      <c r="B5" s="48">
        <v>41644</v>
      </c>
      <c r="C5" s="48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49" t="s">
        <v>184</v>
      </c>
      <c r="B6" s="48">
        <v>41649</v>
      </c>
      <c r="C6" s="48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49" t="s">
        <v>185</v>
      </c>
      <c r="B7" s="48">
        <v>41657</v>
      </c>
      <c r="C7" s="48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49" t="s">
        <v>186</v>
      </c>
      <c r="B8" s="48">
        <v>41646</v>
      </c>
      <c r="C8" s="48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49" t="s">
        <v>187</v>
      </c>
      <c r="B9" s="48">
        <v>41645</v>
      </c>
      <c r="C9" s="48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49" t="s">
        <v>188</v>
      </c>
      <c r="B10" s="48">
        <v>41651</v>
      </c>
      <c r="C10" s="48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49" t="s">
        <v>189</v>
      </c>
      <c r="B11" s="48">
        <v>41660</v>
      </c>
      <c r="C11" s="48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49" t="s">
        <v>190</v>
      </c>
      <c r="B12" s="48">
        <v>41657</v>
      </c>
      <c r="C12" s="48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49" t="s">
        <v>191</v>
      </c>
      <c r="B13" s="48">
        <v>41642</v>
      </c>
      <c r="C13" s="48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49" t="s">
        <v>192</v>
      </c>
      <c r="B14" s="48">
        <v>41646</v>
      </c>
      <c r="C14" s="48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68" t="s">
        <v>177</v>
      </c>
      <c r="E15" s="68"/>
      <c r="F15" s="26">
        <f>SUM(F3:F14)</f>
        <v>8669.24</v>
      </c>
    </row>
    <row r="16" spans="1:6" x14ac:dyDescent="0.25">
      <c r="D16" s="68" t="s">
        <v>178</v>
      </c>
      <c r="E16" s="68"/>
      <c r="F16" s="26">
        <f>AVERAGE(F3:F14)</f>
        <v>722.43666666666661</v>
      </c>
    </row>
    <row r="17" spans="4:6" x14ac:dyDescent="0.25">
      <c r="D17" s="68" t="s">
        <v>179</v>
      </c>
      <c r="E17" s="68"/>
      <c r="F17" s="26">
        <f>MAX(F3:F14)</f>
        <v>1670.3999999999999</v>
      </c>
    </row>
    <row r="18" spans="4:6" x14ac:dyDescent="0.25">
      <c r="D18" s="68" t="s">
        <v>180</v>
      </c>
      <c r="E18" s="68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5" t="s">
        <v>198</v>
      </c>
      <c r="B1" s="75"/>
      <c r="C1" s="75"/>
      <c r="D1" s="75"/>
      <c r="E1" s="75"/>
      <c r="F1" s="75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1">
        <v>0.4</v>
      </c>
      <c r="D3" s="43">
        <f>B3*C$3</f>
        <v>26.400000000000002</v>
      </c>
      <c r="E3" s="52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75" t="s">
        <v>206</v>
      </c>
      <c r="B1" s="75"/>
      <c r="C1" s="75"/>
      <c r="D1" s="75"/>
    </row>
    <row r="2" spans="1:4" x14ac:dyDescent="0.25">
      <c r="A2" s="50" t="s">
        <v>208</v>
      </c>
      <c r="B2" s="76" t="s">
        <v>210</v>
      </c>
      <c r="C2" s="77"/>
      <c r="D2" s="78"/>
    </row>
    <row r="3" spans="1:4" x14ac:dyDescent="0.25">
      <c r="A3" s="50" t="s">
        <v>43</v>
      </c>
      <c r="B3" s="79">
        <v>5144230</v>
      </c>
      <c r="C3" s="80"/>
      <c r="D3" s="81"/>
    </row>
    <row r="4" spans="1:4" x14ac:dyDescent="0.25">
      <c r="A4" s="50" t="s">
        <v>207</v>
      </c>
      <c r="B4" s="76" t="s">
        <v>211</v>
      </c>
      <c r="C4" s="77"/>
      <c r="D4" s="78"/>
    </row>
    <row r="5" spans="1:4" x14ac:dyDescent="0.25">
      <c r="A5" s="50" t="s">
        <v>154</v>
      </c>
      <c r="B5" s="82">
        <v>33337878</v>
      </c>
      <c r="C5" s="83"/>
      <c r="D5" s="84"/>
    </row>
    <row r="7" spans="1:4" x14ac:dyDescent="0.25">
      <c r="A7" s="75" t="s">
        <v>205</v>
      </c>
      <c r="B7" s="75"/>
      <c r="C7" s="75"/>
      <c r="D7" s="75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69" t="s">
        <v>209</v>
      </c>
      <c r="C15" s="70"/>
      <c r="D15" s="26">
        <f>SUM(D9:D13)</f>
        <v>42790</v>
      </c>
    </row>
    <row r="16" spans="1:4" x14ac:dyDescent="0.25">
      <c r="B16" s="39" t="s">
        <v>201</v>
      </c>
      <c r="C16" s="53">
        <v>0.18</v>
      </c>
      <c r="D16" s="26">
        <f>$D$15*C16</f>
        <v>7702.2</v>
      </c>
    </row>
    <row r="17" spans="2:4" x14ac:dyDescent="0.25">
      <c r="B17" s="39" t="s">
        <v>202</v>
      </c>
      <c r="C17" s="52">
        <v>0.05</v>
      </c>
      <c r="D17" s="26">
        <f>$D$15*C17</f>
        <v>2139.5</v>
      </c>
    </row>
    <row r="18" spans="2:4" x14ac:dyDescent="0.25">
      <c r="B18" s="69" t="s">
        <v>200</v>
      </c>
      <c r="C18" s="70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85" t="s">
        <v>217</v>
      </c>
      <c r="B1" s="86"/>
      <c r="C1" s="86"/>
      <c r="D1" s="86"/>
      <c r="E1" s="86"/>
      <c r="F1" s="86"/>
      <c r="G1" s="86"/>
    </row>
    <row r="2" spans="1:7" ht="47.25" x14ac:dyDescent="0.25">
      <c r="A2" s="54" t="s">
        <v>218</v>
      </c>
      <c r="B2" s="54" t="s">
        <v>219</v>
      </c>
      <c r="C2" s="54" t="s">
        <v>220</v>
      </c>
      <c r="D2" s="54" t="s">
        <v>221</v>
      </c>
      <c r="E2" s="54" t="s">
        <v>222</v>
      </c>
      <c r="F2" s="54" t="s">
        <v>224</v>
      </c>
      <c r="G2" s="54" t="s">
        <v>223</v>
      </c>
    </row>
    <row r="3" spans="1:7" x14ac:dyDescent="0.25">
      <c r="A3" s="42">
        <v>12748</v>
      </c>
      <c r="B3" s="55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5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5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5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5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5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5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5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tabSelected="1" workbookViewId="0">
      <selection activeCell="E5" sqref="E5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67" t="s">
        <v>234</v>
      </c>
      <c r="B1" s="68"/>
      <c r="D1" s="72" t="s">
        <v>237</v>
      </c>
      <c r="E1" s="74"/>
    </row>
    <row r="2" spans="1:5" x14ac:dyDescent="0.25">
      <c r="A2" s="40"/>
      <c r="B2" s="40"/>
      <c r="D2" s="56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6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6" t="s">
        <v>240</v>
      </c>
      <c r="E4" s="40">
        <f>COUNT(A2:B12)</f>
        <v>7</v>
      </c>
    </row>
    <row r="5" spans="1:5" x14ac:dyDescent="0.25">
      <c r="A5" s="40"/>
      <c r="B5" s="40"/>
      <c r="D5" s="56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2026-03-20T00:03:25Z</dcterms:modified>
</cp:coreProperties>
</file>