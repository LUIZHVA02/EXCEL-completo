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7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wilck.alunos\Desktop\Luiz Henrique Vidal Araujo - Excel completo\"/>
    </mc:Choice>
  </mc:AlternateContent>
  <xr:revisionPtr revIDLastSave="0" documentId="13_ncr:1_{597C3BA0-A233-4493-B5B8-DF4F5BA64E10}" xr6:coauthVersionLast="36" xr6:coauthVersionMax="36" xr10:uidLastSave="{00000000-0000-0000-0000-000000000000}"/>
  <bookViews>
    <workbookView xWindow="0" yWindow="0" windowWidth="15360" windowHeight="7425" firstSheet="13" activeTab="16" xr2:uid="{A5E3398E-808E-49BA-92C6-AB43937C9D3D}"/>
  </bookViews>
  <sheets>
    <sheet name="01-formatacao" sheetId="1" r:id="rId1"/>
    <sheet name="02-Listas" sheetId="2" r:id="rId2"/>
    <sheet name="03-Formatos Personalizados" sheetId="3" r:id="rId3"/>
    <sheet name="04-Classificacao e filtro" sheetId="4" r:id="rId4"/>
    <sheet name="05-Formulas e Funcoes" sheetId="6" r:id="rId5"/>
    <sheet name="06-Porcentagem" sheetId="7" r:id="rId6"/>
    <sheet name="07-Acrescimo 1" sheetId="8" r:id="rId7"/>
    <sheet name="08-Acrescimo 2" sheetId="9" r:id="rId8"/>
    <sheet name="09-Desconto 1" sheetId="10" r:id="rId9"/>
    <sheet name="10-Desconto 2" sheetId="11" r:id="rId10"/>
    <sheet name="11-Copia relativa" sheetId="12" r:id="rId11"/>
    <sheet name="12-Copia Mista" sheetId="13" r:id="rId12"/>
    <sheet name="13-Copia Absoluta" sheetId="14" r:id="rId13"/>
    <sheet name="14-Calculos Basicos 1" sheetId="15" r:id="rId14"/>
    <sheet name="15-Calculos Basicos 2" sheetId="16" r:id="rId15"/>
    <sheet name="16-Calculos Basicos 3" sheetId="17" r:id="rId16"/>
    <sheet name="17-Calculos Basicos 4" sheetId="18" r:id="rId17"/>
    <sheet name="18-Calculos Basicos 5" sheetId="19" r:id="rId18"/>
    <sheet name="19-Calculos Basicos 6" sheetId="20" r:id="rId19"/>
  </sheets>
  <calcPr calcId="17902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18" i="18" l="1"/>
  <c r="F17" i="18"/>
  <c r="F16" i="18"/>
  <c r="F15" i="18"/>
  <c r="D18" i="20" l="1"/>
  <c r="D17" i="20"/>
  <c r="D16" i="20"/>
  <c r="D15" i="20"/>
  <c r="D10" i="20"/>
  <c r="D11" i="20"/>
  <c r="D12" i="20"/>
  <c r="D13" i="20"/>
  <c r="D9" i="20"/>
  <c r="F4" i="19" l="1"/>
  <c r="F5" i="19"/>
  <c r="F6" i="19"/>
  <c r="F7" i="19"/>
  <c r="F8" i="19"/>
  <c r="F3" i="19"/>
  <c r="D4" i="19"/>
  <c r="D5" i="19"/>
  <c r="D6" i="19"/>
  <c r="D7" i="19"/>
  <c r="D8" i="19"/>
  <c r="D3" i="19"/>
  <c r="F13" i="18" l="1"/>
  <c r="E4" i="18"/>
  <c r="F4" i="18" s="1"/>
  <c r="E5" i="18"/>
  <c r="F5" i="18" s="1"/>
  <c r="E6" i="18"/>
  <c r="F6" i="18" s="1"/>
  <c r="E7" i="18"/>
  <c r="F7" i="18" s="1"/>
  <c r="E8" i="18"/>
  <c r="F8" i="18" s="1"/>
  <c r="E9" i="18"/>
  <c r="F9" i="18" s="1"/>
  <c r="E10" i="18"/>
  <c r="F10" i="18" s="1"/>
  <c r="E11" i="18"/>
  <c r="F11" i="18" s="1"/>
  <c r="E12" i="18"/>
  <c r="F12" i="18" s="1"/>
  <c r="E13" i="18"/>
  <c r="E14" i="18"/>
  <c r="F14" i="18" s="1"/>
  <c r="E3" i="18"/>
  <c r="F3" i="18" s="1"/>
  <c r="D4" i="17"/>
  <c r="D5" i="17"/>
  <c r="D6" i="17"/>
  <c r="D7" i="17"/>
  <c r="D3" i="17"/>
  <c r="C4" i="17"/>
  <c r="C5" i="17"/>
  <c r="C6" i="17"/>
  <c r="C7" i="17"/>
  <c r="C3" i="17"/>
  <c r="C4" i="16" l="1"/>
  <c r="C5" i="16"/>
  <c r="C6" i="16"/>
  <c r="C7" i="16"/>
  <c r="C8" i="16"/>
  <c r="C9" i="16"/>
  <c r="C3" i="16"/>
  <c r="E13" i="15"/>
  <c r="E4" i="15"/>
  <c r="E5" i="15"/>
  <c r="E6" i="15"/>
  <c r="E7" i="15"/>
  <c r="E8" i="15"/>
  <c r="E9" i="15"/>
  <c r="E10" i="15"/>
  <c r="E11" i="15"/>
  <c r="E12" i="15"/>
  <c r="E3" i="15"/>
  <c r="E4" i="14" l="1"/>
  <c r="F4" i="14"/>
  <c r="G4" i="14"/>
  <c r="E5" i="14"/>
  <c r="F5" i="14"/>
  <c r="G5" i="14"/>
  <c r="E6" i="14"/>
  <c r="F6" i="14"/>
  <c r="G6" i="14"/>
  <c r="E7" i="14"/>
  <c r="F7" i="14"/>
  <c r="G7" i="14"/>
  <c r="E8" i="14"/>
  <c r="F8" i="14"/>
  <c r="G8" i="14"/>
  <c r="E9" i="14"/>
  <c r="F9" i="14"/>
  <c r="G9" i="14"/>
  <c r="E10" i="14"/>
  <c r="F10" i="14"/>
  <c r="G10" i="14"/>
  <c r="E11" i="14"/>
  <c r="F11" i="14"/>
  <c r="G11" i="14"/>
  <c r="E12" i="14"/>
  <c r="F12" i="14"/>
  <c r="G12" i="14"/>
  <c r="E13" i="14"/>
  <c r="F13" i="14"/>
  <c r="G13" i="14"/>
  <c r="F3" i="14"/>
  <c r="G3" i="14"/>
  <c r="E3" i="14"/>
  <c r="C4" i="13"/>
  <c r="C5" i="13"/>
  <c r="C6" i="13"/>
  <c r="C7" i="13"/>
  <c r="C8" i="13"/>
  <c r="C9" i="13"/>
  <c r="C10" i="13"/>
  <c r="C11" i="13"/>
  <c r="C12" i="13"/>
  <c r="C13" i="13"/>
  <c r="C3" i="13"/>
  <c r="C4" i="12"/>
  <c r="C5" i="12"/>
  <c r="C6" i="12"/>
  <c r="C7" i="12"/>
  <c r="C8" i="12"/>
  <c r="C9" i="12"/>
  <c r="C10" i="12"/>
  <c r="C11" i="12"/>
  <c r="C12" i="12"/>
  <c r="C13" i="12"/>
  <c r="C3" i="12"/>
  <c r="C10" i="11" l="1"/>
  <c r="C9" i="11"/>
  <c r="C8" i="11"/>
  <c r="C7" i="11"/>
  <c r="C6" i="11"/>
  <c r="C5" i="11"/>
  <c r="C4" i="11"/>
  <c r="C3" i="11"/>
  <c r="D4" i="10"/>
  <c r="D5" i="10"/>
  <c r="D6" i="10"/>
  <c r="D7" i="10"/>
  <c r="D8" i="10"/>
  <c r="D9" i="10"/>
  <c r="D10" i="10"/>
  <c r="D3" i="10"/>
  <c r="C3" i="9"/>
  <c r="C4" i="10"/>
  <c r="C5" i="10"/>
  <c r="C6" i="10"/>
  <c r="C7" i="10"/>
  <c r="C8" i="10"/>
  <c r="C9" i="10"/>
  <c r="C10" i="10"/>
  <c r="C3" i="10"/>
  <c r="C4" i="9"/>
  <c r="C5" i="9"/>
  <c r="C6" i="9"/>
  <c r="C7" i="9"/>
  <c r="C8" i="9"/>
  <c r="C9" i="9"/>
  <c r="C10" i="9"/>
  <c r="C4" i="7" l="1"/>
  <c r="C5" i="7"/>
  <c r="C6" i="7"/>
  <c r="C7" i="7"/>
  <c r="C8" i="7"/>
  <c r="C9" i="7"/>
  <c r="C10" i="7"/>
  <c r="C11" i="7"/>
  <c r="C3" i="7"/>
  <c r="C4" i="8"/>
  <c r="D4" i="8" s="1"/>
  <c r="C5" i="8"/>
  <c r="D5" i="8"/>
  <c r="C6" i="8"/>
  <c r="D6" i="8"/>
  <c r="C7" i="8"/>
  <c r="D7" i="8"/>
  <c r="C8" i="8"/>
  <c r="D8" i="8"/>
  <c r="C9" i="8"/>
  <c r="D9" i="8"/>
  <c r="C10" i="8"/>
  <c r="D10" i="8" s="1"/>
  <c r="D3" i="8"/>
  <c r="C3" i="8"/>
  <c r="E4" i="6" l="1"/>
  <c r="E5" i="6"/>
  <c r="E6" i="6"/>
  <c r="E7" i="6"/>
  <c r="E3" i="6"/>
  <c r="F4" i="6"/>
  <c r="G4" i="6"/>
  <c r="H4" i="6"/>
  <c r="F5" i="6"/>
  <c r="G5" i="6"/>
  <c r="H5" i="6"/>
  <c r="F6" i="6"/>
  <c r="G6" i="6"/>
  <c r="H6" i="6"/>
  <c r="F7" i="6"/>
  <c r="G7" i="6"/>
  <c r="H7" i="6"/>
  <c r="H3" i="6"/>
  <c r="G3" i="6"/>
  <c r="F3" i="6"/>
  <c r="C10" i="6"/>
  <c r="D10" i="6"/>
  <c r="C11" i="6"/>
  <c r="D11" i="6"/>
  <c r="B11" i="6"/>
  <c r="B10" i="6"/>
  <c r="C9" i="6"/>
  <c r="D9" i="6"/>
  <c r="B9" i="6"/>
  <c r="C8" i="6"/>
  <c r="D8" i="6"/>
  <c r="B8" i="6"/>
  <c r="D3" i="1" l="1"/>
  <c r="D4" i="1"/>
  <c r="D5" i="1"/>
  <c r="D6" i="1"/>
  <c r="D2" i="1"/>
</calcChain>
</file>

<file path=xl/sharedStrings.xml><?xml version="1.0" encoding="utf-8"?>
<sst xmlns="http://schemas.openxmlformats.org/spreadsheetml/2006/main" count="266" uniqueCount="217">
  <si>
    <t>CADASTRO DE ALUNOS</t>
  </si>
  <si>
    <t>EXCEL</t>
  </si>
  <si>
    <t>SENAI</t>
  </si>
  <si>
    <t>SÁBADO</t>
  </si>
  <si>
    <t>COR</t>
  </si>
  <si>
    <t>CARRO</t>
  </si>
  <si>
    <t>FRUTA</t>
  </si>
  <si>
    <t>Azul</t>
  </si>
  <si>
    <t>Branco</t>
  </si>
  <si>
    <t>Preto</t>
  </si>
  <si>
    <t>Verde</t>
  </si>
  <si>
    <t>Amarelo</t>
  </si>
  <si>
    <t>Prisma</t>
  </si>
  <si>
    <t>Centra</t>
  </si>
  <si>
    <t>Pálio</t>
  </si>
  <si>
    <t>Golf</t>
  </si>
  <si>
    <t>Celta</t>
  </si>
  <si>
    <t>Maçã</t>
  </si>
  <si>
    <t>Abacate</t>
  </si>
  <si>
    <t>Banana</t>
  </si>
  <si>
    <t>Laranja</t>
  </si>
  <si>
    <t>Uva</t>
  </si>
  <si>
    <t>MÊS</t>
  </si>
  <si>
    <t>SEMANA</t>
  </si>
  <si>
    <t>Janeiro</t>
  </si>
  <si>
    <t>Domingo</t>
  </si>
  <si>
    <t>Fevereiro</t>
  </si>
  <si>
    <t>Segunda-feira</t>
  </si>
  <si>
    <t>Março</t>
  </si>
  <si>
    <t>Terça-feira</t>
  </si>
  <si>
    <t>Abril</t>
  </si>
  <si>
    <t>Quarta-feira</t>
  </si>
  <si>
    <t>Maio</t>
  </si>
  <si>
    <t>Quinta-feira</t>
  </si>
  <si>
    <t>Junho</t>
  </si>
  <si>
    <t>Sexta-feira</t>
  </si>
  <si>
    <t>Julho</t>
  </si>
  <si>
    <t>Sábado</t>
  </si>
  <si>
    <t>Agosto</t>
  </si>
  <si>
    <t>Setembro</t>
  </si>
  <si>
    <t>Outubro</t>
  </si>
  <si>
    <t>DEFINIÇÃO DE FORMATOS PERSONALIZADOS</t>
  </si>
  <si>
    <t>CÓDIGO COM 4 DÍGITOS</t>
  </si>
  <si>
    <t>CEP</t>
  </si>
  <si>
    <t>DATA ABREVIADA</t>
  </si>
  <si>
    <t>CPF</t>
  </si>
  <si>
    <t>CLASSIFICAÇÃO DE DADOS</t>
  </si>
  <si>
    <t>NOME</t>
  </si>
  <si>
    <t>CARGO</t>
  </si>
  <si>
    <t>DEPARTAMENTO</t>
  </si>
  <si>
    <t>SALÁRIO</t>
  </si>
  <si>
    <t>Administração</t>
  </si>
  <si>
    <t>Comercial</t>
  </si>
  <si>
    <t>Marketing</t>
  </si>
  <si>
    <t>Contabilidade</t>
  </si>
  <si>
    <t>Arte</t>
  </si>
  <si>
    <t>Secretária</t>
  </si>
  <si>
    <t>Auxiliar Administrativo</t>
  </si>
  <si>
    <t>Gerente de Vendas</t>
  </si>
  <si>
    <t>Promotor de Marketing</t>
  </si>
  <si>
    <t>Vendedor</t>
  </si>
  <si>
    <t>Contador</t>
  </si>
  <si>
    <t>Recepcionista</t>
  </si>
  <si>
    <t>Representante de Vendas</t>
  </si>
  <si>
    <t>Projetista</t>
  </si>
  <si>
    <t>Gerente Administrativo</t>
  </si>
  <si>
    <t>Assistente de Marketing</t>
  </si>
  <si>
    <t>Joana Ferreira</t>
  </si>
  <si>
    <t>Adriano Gomes</t>
  </si>
  <si>
    <t>Anderson Santos</t>
  </si>
  <si>
    <t>Rogério Oliveira</t>
  </si>
  <si>
    <t>Alcides Caio Barretos</t>
  </si>
  <si>
    <t>João Souza Lima</t>
  </si>
  <si>
    <t>Fabiana Venâncio</t>
  </si>
  <si>
    <t>Pedro Elder Júnior</t>
  </si>
  <si>
    <t>Andressa Fagundes</t>
  </si>
  <si>
    <t>Paulo Rosa Antunes</t>
  </si>
  <si>
    <t>Tatiana Félix</t>
  </si>
  <si>
    <t>CONTROLE DE VENDAS</t>
  </si>
  <si>
    <t>Eduarda</t>
  </si>
  <si>
    <t>Ana Luiza</t>
  </si>
  <si>
    <t>Rogério</t>
  </si>
  <si>
    <t>Henrique</t>
  </si>
  <si>
    <t>Luiz Fernando</t>
  </si>
  <si>
    <t>SOMA DO MÊS</t>
  </si>
  <si>
    <t>VALOR MÁXIMO DO MÊS</t>
  </si>
  <si>
    <t>VALOR MÍNIMO DO MÊS</t>
  </si>
  <si>
    <t>MÉDIA DE VALORES DO MÊS</t>
  </si>
  <si>
    <t>JAN</t>
  </si>
  <si>
    <t>FEV</t>
  </si>
  <si>
    <t>MAR</t>
  </si>
  <si>
    <t>SOMA DO TRIMESTRE</t>
  </si>
  <si>
    <t>VALOR MÁXIMO DO TRIMESTRE</t>
  </si>
  <si>
    <t>VALOR MÍNIMO DO TRIMESTRE</t>
  </si>
  <si>
    <t>MÉDIA DE VALORES DO TRIMESTRE</t>
  </si>
  <si>
    <t>EXEMPLO DE CÁLCULOS COM PORCENTAGEM</t>
  </si>
  <si>
    <t>VALOR PARA CÁLCULO</t>
  </si>
  <si>
    <t>PORCENTAGEM A SER CALCULADA</t>
  </si>
  <si>
    <t>RESULTADO</t>
  </si>
  <si>
    <t>CÁLCULO DE PORCENTAGEM COM ACRÉSCIMO</t>
  </si>
  <si>
    <t>VALOR DE VENDA</t>
  </si>
  <si>
    <t>% DE ACRÉSCIMO</t>
  </si>
  <si>
    <t>VALOR DE ACRÉSCIMO</t>
  </si>
  <si>
    <t>VALOR DE VENDA COM ACRÉSCIMO</t>
  </si>
  <si>
    <t>CÁLCULO DE PORCENTAGEM COM DESCONTO</t>
  </si>
  <si>
    <t>VALOR DA VENDA</t>
  </si>
  <si>
    <t>% DE DESCONTO</t>
  </si>
  <si>
    <t>VALOR DE DESCONTO</t>
  </si>
  <si>
    <t>VALOR DE VENDA COM DESCONTO</t>
  </si>
  <si>
    <t>VALOR SEM ACRÉSCIMO</t>
  </si>
  <si>
    <t>TAXA DE ACRÉSCIMO</t>
  </si>
  <si>
    <t>VALOR COM ACRÉSCIMO</t>
  </si>
  <si>
    <t>REFERÊNCIA RELATIVA</t>
  </si>
  <si>
    <t>REFERÊNCIA ABSOLUTA</t>
  </si>
  <si>
    <t>VALOR DE VENDA EM JANEIRO</t>
  </si>
  <si>
    <t>VALOR DE VENDA EM FEVEREIRO</t>
  </si>
  <si>
    <t>VALOR DE VENDA EM MARÇO</t>
  </si>
  <si>
    <t>VALOR DE VENDA COM ACRÉSCIMO EM JANEIRO</t>
  </si>
  <si>
    <t>VALOR DE VENDA COM ACRÉSCIMO EM FEVEREIRO</t>
  </si>
  <si>
    <t>VALOR DE VENDA COM ACRÉSCIMO EM MARÇO</t>
  </si>
  <si>
    <t>ORÇAMENTO DE MATERIAL DE CONSTRUÇÃO</t>
  </si>
  <si>
    <t>CÓDIGO</t>
  </si>
  <si>
    <t>MATERIAL COMPRADO</t>
  </si>
  <si>
    <t>QUANTIDADE</t>
  </si>
  <si>
    <t>PREÇO UNITÁRIO</t>
  </si>
  <si>
    <t>TOTAL DE CADA MATERIAL</t>
  </si>
  <si>
    <t>AA01</t>
  </si>
  <si>
    <t>AA02</t>
  </si>
  <si>
    <t>AA03</t>
  </si>
  <si>
    <t>AA04</t>
  </si>
  <si>
    <t>AA05</t>
  </si>
  <si>
    <t>AA06</t>
  </si>
  <si>
    <t>AA07</t>
  </si>
  <si>
    <t>AA08</t>
  </si>
  <si>
    <t>AA09</t>
  </si>
  <si>
    <t>AA10</t>
  </si>
  <si>
    <t>Cimento</t>
  </si>
  <si>
    <t>Argamassa</t>
  </si>
  <si>
    <t>Bloco</t>
  </si>
  <si>
    <t>Porta de Madeira</t>
  </si>
  <si>
    <t>Cano de PVC</t>
  </si>
  <si>
    <t>Luminárias</t>
  </si>
  <si>
    <t>Porta Camarão</t>
  </si>
  <si>
    <t>Ar Condicionado</t>
  </si>
  <si>
    <t>Lata de Tinta</t>
  </si>
  <si>
    <t>Telha Colonial</t>
  </si>
  <si>
    <t>TOTAL DO ORÇAMENTO</t>
  </si>
  <si>
    <t>SALÁRIO MENSAL</t>
  </si>
  <si>
    <t>ORÇAMENTO DOMÉSTICO</t>
  </si>
  <si>
    <t>GASTOS</t>
  </si>
  <si>
    <t>VALORES</t>
  </si>
  <si>
    <t>% CONSUMIDO POR CADA GASTO DO TOTAL DO ORÇAMENTO</t>
  </si>
  <si>
    <t>Água</t>
  </si>
  <si>
    <t>Luz</t>
  </si>
  <si>
    <t>Telefone</t>
  </si>
  <si>
    <t>Faculdade</t>
  </si>
  <si>
    <t>Alimentação</t>
  </si>
  <si>
    <t>Transporte</t>
  </si>
  <si>
    <t>Lazer</t>
  </si>
  <si>
    <t>COMPRA COM JUROS</t>
  </si>
  <si>
    <t>PRODUTO</t>
  </si>
  <si>
    <t>VALOR A VISTA</t>
  </si>
  <si>
    <t>VALOR DE JUROS</t>
  </si>
  <si>
    <t>VALOR DE VENDA COM JUROS</t>
  </si>
  <si>
    <t>JUROS</t>
  </si>
  <si>
    <t>Geladeira</t>
  </si>
  <si>
    <t>Fogão</t>
  </si>
  <si>
    <t>Microondas</t>
  </si>
  <si>
    <t>Televisão</t>
  </si>
  <si>
    <t>Computador</t>
  </si>
  <si>
    <t>NOME DO HÓSPEDE</t>
  </si>
  <si>
    <t>HOTEL JANDIRA LTDA</t>
  </si>
  <si>
    <t>DATA DE ENTRADA</t>
  </si>
  <si>
    <t>DATA DE SAÍDA</t>
  </si>
  <si>
    <t xml:space="preserve"> VALOR POR DIÁRIA</t>
  </si>
  <si>
    <t>DIAS HOSPEDADOS</t>
  </si>
  <si>
    <t>TOTAL A PAGAR PELO PERÍODO</t>
  </si>
  <si>
    <t>TOTAL DAS HOSPEDAGENS</t>
  </si>
  <si>
    <t>MÉDIA DOS VALORES DE HOSPEDAGEM</t>
  </si>
  <si>
    <t>MAIOR VALOR DE HOSPEDAGEM</t>
  </si>
  <si>
    <t>MENOR VALOR DE HOSPEDAGEM</t>
  </si>
  <si>
    <t>Alice Assunção</t>
  </si>
  <si>
    <t>Anderson Lopes</t>
  </si>
  <si>
    <t>Angela Braga</t>
  </si>
  <si>
    <t>Caique Rosa</t>
  </si>
  <si>
    <t>Fernando Alves</t>
  </si>
  <si>
    <t>João Gonçalves</t>
  </si>
  <si>
    <t>Marcelo Rocha</t>
  </si>
  <si>
    <t>Maria Santos</t>
  </si>
  <si>
    <t>Renato Dias</t>
  </si>
  <si>
    <t>Ricardo Melo</t>
  </si>
  <si>
    <t>Silvana Ferreira</t>
  </si>
  <si>
    <t>Thalita Souza</t>
  </si>
  <si>
    <t>MÊS DE CONSUMO</t>
  </si>
  <si>
    <t>CONSUMO DE KW/H</t>
  </si>
  <si>
    <t>VALOR DO KW/H</t>
  </si>
  <si>
    <t>VALOR A PAGAR</t>
  </si>
  <si>
    <t>TAXA DE ILUMINAÇÃO PÚBLICA (APLICAR A TAXA DE ACRÉSCIMO SOBRE O VALOR A PAGAR)</t>
  </si>
  <si>
    <t>CUSTO DE ENERGIA ELÉTRICA</t>
  </si>
  <si>
    <t>VALOR TOTAL DA CONTA</t>
  </si>
  <si>
    <t>TOTAL DO PEDIDO</t>
  </si>
  <si>
    <t>ICMS</t>
  </si>
  <si>
    <t>FRETE</t>
  </si>
  <si>
    <t>DESCRIÇÃO</t>
  </si>
  <si>
    <t>TOTAL</t>
  </si>
  <si>
    <t>DETALHES DO PRODUTO</t>
  </si>
  <si>
    <t>PEDIDO DE COMPRA INFOTECH</t>
  </si>
  <si>
    <t>Cidade</t>
  </si>
  <si>
    <t>Endereço</t>
  </si>
  <si>
    <t>SUBTOTAL DO PEDIDO</t>
  </si>
  <si>
    <t>Rua Antônio Queiroz Filho, 120</t>
  </si>
  <si>
    <t>São Paulo</t>
  </si>
  <si>
    <t>Teclado</t>
  </si>
  <si>
    <t>Mouse</t>
  </si>
  <si>
    <t>Caixa de Som</t>
  </si>
  <si>
    <t>Notebook</t>
  </si>
  <si>
    <t>Modem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</si>
</sst>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0">
    <numFmt numFmtId="44" formatCode="_-&quot;R$&quot;\ * #,##0.00_-;\-&quot;R$&quot;\ * #,##0.00_-;_-&quot;R$&quot;\ * &quot;-&quot;??_-;_-@_-"/>
    <numFmt numFmtId="43" formatCode="_-* #,##0.00_-;\-* #,##0.00_-;_-* &quot;-&quot;??_-;_-@_-"/>
    <numFmt numFmtId="164" formatCode="&quot;R$&quot;\ #,##0.00"/>
    <numFmt numFmtId="165" formatCode="_-[$R$-416]\ * #,##0.00_-;\-[$R$-416]\ * #,##0.00_-;_-[$R$-416]\ * &quot;-&quot;??_-;_-@_-"/>
    <numFmt numFmtId="166" formatCode="[$-F800]dddd\,\ mmmm\ dd\,\ yyyy"/>
    <numFmt numFmtId="167" formatCode="0.0000"/>
    <numFmt numFmtId="168" formatCode="000&quot;.&quot;000&quot;.&quot;000&quot;-&quot;00"/>
    <numFmt numFmtId="169" formatCode="00000&quot;-&quot;000"/>
    <numFmt numFmtId="170" formatCode="0000"/>
    <numFmt numFmtId="171" formatCode="0000&quot;-&quot;0000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3" tint="0.59999389629810485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2" tint="-9.9978637043366805E-2"/>
        <bgColor indexed="64"/>
      </patternFill>
    </fill>
  </fills>
  <borders count="6">
    <border>
      <left/>
      <right/>
      <top/>
      <bottom/>
      <diagonal/>
    </border>
    <border>
      <left style="thin">
        <color theme="2" tint="-0.749992370372631"/>
      </left>
      <right style="thin">
        <color theme="2" tint="-0.749992370372631"/>
      </right>
      <top style="thin">
        <color theme="2" tint="-0.749992370372631"/>
      </top>
      <bottom style="thin">
        <color theme="2" tint="-0.74999237037263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82">
    <xf numFmtId="0" fontId="0" fillId="0" borderId="0" xfId="0"/>
    <xf numFmtId="164" fontId="0" fillId="0" borderId="0" xfId="0" applyNumberFormat="1"/>
    <xf numFmtId="165" fontId="0" fillId="0" borderId="0" xfId="2" applyNumberFormat="1" applyFont="1"/>
    <xf numFmtId="2" fontId="0" fillId="0" borderId="0" xfId="0" applyNumberFormat="1"/>
    <xf numFmtId="3" fontId="0" fillId="0" borderId="0" xfId="0" applyNumberFormat="1"/>
    <xf numFmtId="14" fontId="0" fillId="0" borderId="0" xfId="0" applyNumberFormat="1"/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166" fontId="0" fillId="0" borderId="0" xfId="0" applyNumberFormat="1"/>
    <xf numFmtId="167" fontId="0" fillId="0" borderId="0" xfId="0" applyNumberFormat="1"/>
    <xf numFmtId="9" fontId="0" fillId="0" borderId="0" xfId="0" applyNumberFormat="1"/>
    <xf numFmtId="4" fontId="0" fillId="0" borderId="0" xfId="2" applyNumberFormat="1" applyFont="1"/>
    <xf numFmtId="0" fontId="2" fillId="2" borderId="1" xfId="0" applyFont="1" applyFill="1" applyBorder="1" applyAlignment="1">
      <alignment horizontal="center" vertical="center" wrapText="1"/>
    </xf>
    <xf numFmtId="14" fontId="0" fillId="0" borderId="1" xfId="0" applyNumberFormat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164" fontId="0" fillId="0" borderId="1" xfId="2" applyNumberFormat="1" applyFont="1" applyBorder="1" applyAlignment="1">
      <alignment horizontal="center" vertical="center"/>
    </xf>
    <xf numFmtId="168" fontId="0" fillId="0" borderId="1" xfId="0" applyNumberFormat="1" applyBorder="1" applyAlignment="1">
      <alignment horizontal="center" vertical="center"/>
    </xf>
    <xf numFmtId="169" fontId="0" fillId="0" borderId="1" xfId="0" applyNumberFormat="1" applyBorder="1" applyAlignment="1">
      <alignment horizontal="center" vertical="center"/>
    </xf>
    <xf numFmtId="0" fontId="0" fillId="0" borderId="2" xfId="0" applyBorder="1"/>
    <xf numFmtId="165" fontId="0" fillId="0" borderId="2" xfId="0" applyNumberFormat="1" applyBorder="1"/>
    <xf numFmtId="165" fontId="0" fillId="4" borderId="2" xfId="0" applyNumberFormat="1" applyFill="1" applyBorder="1" applyAlignment="1">
      <alignment horizontal="left" vertical="center"/>
    </xf>
    <xf numFmtId="0" fontId="2" fillId="3" borderId="2" xfId="0" applyFont="1" applyFill="1" applyBorder="1" applyAlignment="1">
      <alignment horizontal="left" vertical="center"/>
    </xf>
    <xf numFmtId="0" fontId="2" fillId="3" borderId="2" xfId="0" applyFont="1" applyFill="1" applyBorder="1" applyAlignment="1">
      <alignment horizontal="center" vertical="center" wrapText="1"/>
    </xf>
    <xf numFmtId="165" fontId="0" fillId="4" borderId="2" xfId="0" applyNumberFormat="1" applyFill="1" applyBorder="1"/>
    <xf numFmtId="0" fontId="0" fillId="3" borderId="2" xfId="0" applyFill="1" applyBorder="1" applyAlignment="1">
      <alignment horizontal="center" vertical="center" wrapText="1"/>
    </xf>
    <xf numFmtId="44" fontId="0" fillId="0" borderId="2" xfId="0" applyNumberFormat="1" applyBorder="1"/>
    <xf numFmtId="9" fontId="0" fillId="0" borderId="2" xfId="0" applyNumberFormat="1" applyBorder="1" applyAlignment="1">
      <alignment horizontal="center" vertical="center"/>
    </xf>
    <xf numFmtId="170" fontId="0" fillId="0" borderId="1" xfId="1" applyNumberFormat="1" applyFont="1" applyBorder="1" applyAlignment="1">
      <alignment horizontal="center" vertical="center"/>
    </xf>
    <xf numFmtId="170" fontId="0" fillId="0" borderId="1" xfId="0" applyNumberFormat="1" applyBorder="1" applyAlignment="1">
      <alignment horizontal="center" vertical="center"/>
    </xf>
    <xf numFmtId="0" fontId="0" fillId="0" borderId="0" xfId="0" applyAlignment="1"/>
    <xf numFmtId="44" fontId="0" fillId="0" borderId="2" xfId="2" applyFont="1" applyBorder="1" applyAlignment="1"/>
    <xf numFmtId="44" fontId="0" fillId="0" borderId="0" xfId="2" applyFont="1"/>
    <xf numFmtId="44" fontId="0" fillId="0" borderId="2" xfId="0" applyNumberFormat="1" applyBorder="1" applyAlignment="1"/>
    <xf numFmtId="44" fontId="0" fillId="0" borderId="2" xfId="2" applyFont="1" applyBorder="1" applyAlignment="1">
      <alignment vertical="center"/>
    </xf>
    <xf numFmtId="44" fontId="0" fillId="0" borderId="2" xfId="0" applyNumberFormat="1" applyBorder="1" applyAlignment="1">
      <alignment vertical="center"/>
    </xf>
    <xf numFmtId="44" fontId="0" fillId="0" borderId="0" xfId="2" applyFont="1" applyAlignment="1">
      <alignment vertical="center"/>
    </xf>
    <xf numFmtId="44" fontId="0" fillId="0" borderId="2" xfId="2" applyFont="1" applyBorder="1"/>
    <xf numFmtId="0" fontId="0" fillId="4" borderId="2" xfId="0" applyFill="1" applyBorder="1" applyAlignment="1">
      <alignment horizontal="center" vertical="center" wrapText="1"/>
    </xf>
    <xf numFmtId="0" fontId="0" fillId="4" borderId="2" xfId="0" applyFill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44" fontId="0" fillId="0" borderId="2" xfId="2" applyFont="1" applyBorder="1" applyAlignment="1">
      <alignment horizontal="center" vertical="center"/>
    </xf>
    <xf numFmtId="1" fontId="0" fillId="0" borderId="2" xfId="0" applyNumberFormat="1" applyBorder="1" applyAlignment="1">
      <alignment horizontal="center" vertical="center"/>
    </xf>
    <xf numFmtId="44" fontId="0" fillId="0" borderId="2" xfId="0" applyNumberFormat="1" applyBorder="1" applyAlignment="1">
      <alignment horizontal="center" vertical="center"/>
    </xf>
    <xf numFmtId="44" fontId="0" fillId="4" borderId="2" xfId="2" applyFont="1" applyFill="1" applyBorder="1" applyAlignment="1">
      <alignment horizontal="center" vertical="center"/>
    </xf>
    <xf numFmtId="0" fontId="0" fillId="0" borderId="2" xfId="0" applyBorder="1" applyAlignment="1">
      <alignment horizontal="left" vertical="center"/>
    </xf>
    <xf numFmtId="10" fontId="0" fillId="0" borderId="2" xfId="3" applyNumberFormat="1" applyFont="1" applyBorder="1" applyAlignment="1">
      <alignment horizontal="center" vertical="center"/>
    </xf>
    <xf numFmtId="10" fontId="0" fillId="0" borderId="0" xfId="0" applyNumberFormat="1"/>
    <xf numFmtId="14" fontId="0" fillId="0" borderId="2" xfId="0" applyNumberFormat="1" applyBorder="1" applyAlignment="1">
      <alignment horizontal="center" vertical="center"/>
    </xf>
    <xf numFmtId="49" fontId="0" fillId="0" borderId="2" xfId="0" applyNumberFormat="1" applyBorder="1" applyAlignment="1">
      <alignment horizontal="left" vertical="center"/>
    </xf>
    <xf numFmtId="0" fontId="0" fillId="4" borderId="2" xfId="0" applyFill="1" applyBorder="1" applyAlignment="1">
      <alignment vertical="center" wrapText="1"/>
    </xf>
    <xf numFmtId="44" fontId="0" fillId="0" borderId="3" xfId="2" applyFont="1" applyBorder="1" applyAlignment="1">
      <alignment horizontal="center" vertical="center"/>
    </xf>
    <xf numFmtId="9" fontId="0" fillId="0" borderId="2" xfId="3" applyFont="1" applyBorder="1" applyAlignment="1">
      <alignment horizontal="center" vertical="center"/>
    </xf>
    <xf numFmtId="9" fontId="0" fillId="0" borderId="2" xfId="3" applyNumberFormat="1" applyFont="1" applyBorder="1" applyAlignment="1">
      <alignment horizontal="center" vertical="center"/>
    </xf>
    <xf numFmtId="0" fontId="0" fillId="0" borderId="0" xfId="0" applyAlignment="1">
      <alignment horizontal="center"/>
    </xf>
    <xf numFmtId="0" fontId="0" fillId="0" borderId="0" xfId="0" applyAlignment="1">
      <alignment horizontal="center" vertical="center" textRotation="90"/>
    </xf>
    <xf numFmtId="0" fontId="0" fillId="0" borderId="0" xfId="0" applyAlignment="1">
      <alignment horizontal="center" vertical="center" textRotation="45"/>
    </xf>
    <xf numFmtId="0" fontId="2" fillId="2" borderId="1" xfId="0" applyFont="1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2" fillId="3" borderId="2" xfId="0" applyFont="1" applyFill="1" applyBorder="1" applyAlignment="1">
      <alignment horizontal="center" vertical="center"/>
    </xf>
    <xf numFmtId="0" fontId="2" fillId="3" borderId="2" xfId="0" applyFont="1" applyFill="1" applyBorder="1" applyAlignment="1">
      <alignment horizontal="center"/>
    </xf>
    <xf numFmtId="0" fontId="2" fillId="3" borderId="3" xfId="0" applyFont="1" applyFill="1" applyBorder="1" applyAlignment="1">
      <alignment horizontal="center" vertical="center"/>
    </xf>
    <xf numFmtId="0" fontId="2" fillId="3" borderId="4" xfId="0" applyFont="1" applyFill="1" applyBorder="1" applyAlignment="1">
      <alignment horizontal="center" vertical="center"/>
    </xf>
    <xf numFmtId="0" fontId="2" fillId="3" borderId="5" xfId="0" applyFont="1" applyFill="1" applyBorder="1" applyAlignment="1">
      <alignment horizontal="center" vertical="center"/>
    </xf>
    <xf numFmtId="0" fontId="2" fillId="4" borderId="2" xfId="0" applyFont="1" applyFill="1" applyBorder="1" applyAlignment="1">
      <alignment horizontal="center" vertical="center"/>
    </xf>
    <xf numFmtId="0" fontId="0" fillId="4" borderId="2" xfId="0" applyFill="1" applyBorder="1" applyAlignment="1">
      <alignment horizontal="center" vertical="center"/>
    </xf>
    <xf numFmtId="0" fontId="0" fillId="4" borderId="3" xfId="0" applyFill="1" applyBorder="1" applyAlignment="1">
      <alignment horizontal="center" vertical="center"/>
    </xf>
    <xf numFmtId="0" fontId="0" fillId="4" borderId="5" xfId="0" applyFill="1" applyBorder="1" applyAlignment="1">
      <alignment horizontal="center" vertical="center"/>
    </xf>
    <xf numFmtId="0" fontId="0" fillId="4" borderId="4" xfId="0" applyFill="1" applyBorder="1" applyAlignment="1">
      <alignment horizontal="center" vertical="center"/>
    </xf>
    <xf numFmtId="0" fontId="2" fillId="4" borderId="3" xfId="0" applyFont="1" applyFill="1" applyBorder="1" applyAlignment="1">
      <alignment horizontal="center" vertical="center"/>
    </xf>
    <xf numFmtId="0" fontId="2" fillId="4" borderId="4" xfId="0" applyFont="1" applyFill="1" applyBorder="1" applyAlignment="1">
      <alignment horizontal="center" vertical="center"/>
    </xf>
    <xf numFmtId="0" fontId="2" fillId="4" borderId="5" xfId="0" applyFont="1" applyFill="1" applyBorder="1" applyAlignment="1">
      <alignment horizontal="center" vertical="center"/>
    </xf>
    <xf numFmtId="0" fontId="2" fillId="4" borderId="2" xfId="0" applyFont="1" applyFill="1" applyBorder="1" applyAlignment="1">
      <alignment horizontal="center" vertical="center" wrapText="1"/>
    </xf>
    <xf numFmtId="49" fontId="0" fillId="0" borderId="3" xfId="0" applyNumberFormat="1" applyBorder="1" applyAlignment="1">
      <alignment horizontal="center" vertical="center" wrapText="1"/>
    </xf>
    <xf numFmtId="49" fontId="0" fillId="0" borderId="4" xfId="0" applyNumberFormat="1" applyBorder="1" applyAlignment="1">
      <alignment horizontal="center" vertical="center" wrapText="1"/>
    </xf>
    <xf numFmtId="49" fontId="0" fillId="0" borderId="5" xfId="0" applyNumberFormat="1" applyBorder="1" applyAlignment="1">
      <alignment horizontal="center" vertical="center" wrapText="1"/>
    </xf>
    <xf numFmtId="169" fontId="0" fillId="0" borderId="3" xfId="0" applyNumberFormat="1" applyBorder="1" applyAlignment="1">
      <alignment horizontal="center" vertical="center" wrapText="1"/>
    </xf>
    <xf numFmtId="169" fontId="0" fillId="0" borderId="4" xfId="0" applyNumberFormat="1" applyBorder="1" applyAlignment="1">
      <alignment horizontal="center" vertical="center" wrapText="1"/>
    </xf>
    <xf numFmtId="169" fontId="0" fillId="0" borderId="5" xfId="0" applyNumberFormat="1" applyBorder="1" applyAlignment="1">
      <alignment horizontal="center" vertical="center" wrapText="1"/>
    </xf>
    <xf numFmtId="171" fontId="0" fillId="0" borderId="3" xfId="0" applyNumberFormat="1" applyBorder="1" applyAlignment="1">
      <alignment horizontal="center" vertical="center" wrapText="1"/>
    </xf>
    <xf numFmtId="171" fontId="0" fillId="0" borderId="4" xfId="0" applyNumberFormat="1" applyBorder="1" applyAlignment="1">
      <alignment horizontal="center" vertical="center" wrapText="1"/>
    </xf>
    <xf numFmtId="171" fontId="0" fillId="0" borderId="5" xfId="0" applyNumberFormat="1" applyBorder="1" applyAlignment="1">
      <alignment horizontal="center" vertical="center" wrapText="1"/>
    </xf>
  </cellXfs>
  <cellStyles count="4">
    <cellStyle name="Moeda" xfId="2" builtinId="4"/>
    <cellStyle name="Normal" xfId="0" builtinId="0"/>
    <cellStyle name="Porcentagem" xfId="3" builtinId="5"/>
    <cellStyle name="Vírgula" xfId="1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B10DB8-8BF6-4AD4-92F9-82E65BEF301B}">
  <dimension ref="A1:D7"/>
  <sheetViews>
    <sheetView workbookViewId="0">
      <selection activeCell="F1" sqref="F1"/>
    </sheetView>
  </sheetViews>
  <sheetFormatPr defaultRowHeight="15" x14ac:dyDescent="0.25"/>
  <cols>
    <col min="3" max="3" width="16.85546875" customWidth="1"/>
    <col min="4" max="4" width="27.28515625" customWidth="1"/>
  </cols>
  <sheetData>
    <row r="1" spans="1:4" x14ac:dyDescent="0.25">
      <c r="A1" s="54" t="s">
        <v>0</v>
      </c>
      <c r="B1" s="54"/>
      <c r="C1" s="54"/>
      <c r="D1" s="54"/>
    </row>
    <row r="2" spans="1:4" x14ac:dyDescent="0.25">
      <c r="A2" s="55" t="s">
        <v>1</v>
      </c>
      <c r="B2" s="56" t="s">
        <v>2</v>
      </c>
      <c r="C2" s="2">
        <v>23</v>
      </c>
      <c r="D2" s="1">
        <f>C2</f>
        <v>23</v>
      </c>
    </row>
    <row r="3" spans="1:4" x14ac:dyDescent="0.25">
      <c r="A3" s="55"/>
      <c r="B3" s="56"/>
      <c r="C3" s="3">
        <v>0.1</v>
      </c>
      <c r="D3" s="10">
        <f t="shared" ref="D3:D6" si="0">C3</f>
        <v>0.1</v>
      </c>
    </row>
    <row r="4" spans="1:4" x14ac:dyDescent="0.25">
      <c r="A4" s="55"/>
      <c r="B4" s="56"/>
      <c r="C4">
        <v>2.58</v>
      </c>
      <c r="D4" s="9">
        <f t="shared" si="0"/>
        <v>2.58</v>
      </c>
    </row>
    <row r="5" spans="1:4" x14ac:dyDescent="0.25">
      <c r="A5" s="55"/>
      <c r="B5" s="56"/>
      <c r="C5" s="4">
        <v>1000</v>
      </c>
      <c r="D5" s="11">
        <f t="shared" si="0"/>
        <v>1000</v>
      </c>
    </row>
    <row r="6" spans="1:4" x14ac:dyDescent="0.25">
      <c r="A6" s="55"/>
      <c r="B6" s="56"/>
      <c r="C6" s="5">
        <v>42567</v>
      </c>
      <c r="D6" s="8">
        <f t="shared" si="0"/>
        <v>42567</v>
      </c>
    </row>
    <row r="7" spans="1:4" ht="30" x14ac:dyDescent="0.25">
      <c r="A7" s="55"/>
      <c r="B7" s="56"/>
      <c r="C7" s="6" t="s">
        <v>0</v>
      </c>
      <c r="D7" s="7" t="s">
        <v>3</v>
      </c>
    </row>
  </sheetData>
  <mergeCells count="3">
    <mergeCell ref="A1:D1"/>
    <mergeCell ref="A2:A7"/>
    <mergeCell ref="B2:B7"/>
  </mergeCells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7CC2B0-9ED6-4BF3-B312-FF0636BAB527}">
  <dimension ref="A1:F11"/>
  <sheetViews>
    <sheetView workbookViewId="0">
      <selection activeCell="D4" sqref="D4"/>
    </sheetView>
  </sheetViews>
  <sheetFormatPr defaultRowHeight="15" x14ac:dyDescent="0.25"/>
  <cols>
    <col min="5" max="6" width="18.28515625" customWidth="1"/>
  </cols>
  <sheetData>
    <row r="1" spans="1:6" x14ac:dyDescent="0.25">
      <c r="A1" s="7" t="s">
        <v>4</v>
      </c>
      <c r="B1" s="7" t="s">
        <v>5</v>
      </c>
      <c r="C1" s="7" t="s">
        <v>6</v>
      </c>
      <c r="E1" s="7" t="s">
        <v>22</v>
      </c>
      <c r="F1" s="7" t="s">
        <v>23</v>
      </c>
    </row>
    <row r="2" spans="1:6" x14ac:dyDescent="0.25">
      <c r="A2" s="7" t="s">
        <v>7</v>
      </c>
      <c r="B2" s="7" t="s">
        <v>12</v>
      </c>
      <c r="C2" s="7" t="s">
        <v>17</v>
      </c>
      <c r="E2" s="7" t="s">
        <v>24</v>
      </c>
      <c r="F2" s="7" t="s">
        <v>25</v>
      </c>
    </row>
    <row r="3" spans="1:6" x14ac:dyDescent="0.25">
      <c r="A3" s="7" t="s">
        <v>8</v>
      </c>
      <c r="B3" s="7" t="s">
        <v>13</v>
      </c>
      <c r="C3" s="7" t="s">
        <v>18</v>
      </c>
      <c r="E3" s="7" t="s">
        <v>26</v>
      </c>
      <c r="F3" s="7" t="s">
        <v>27</v>
      </c>
    </row>
    <row r="4" spans="1:6" x14ac:dyDescent="0.25">
      <c r="A4" s="7" t="s">
        <v>9</v>
      </c>
      <c r="B4" s="7" t="s">
        <v>14</v>
      </c>
      <c r="C4" s="7" t="s">
        <v>19</v>
      </c>
      <c r="E4" s="7" t="s">
        <v>28</v>
      </c>
      <c r="F4" s="7" t="s">
        <v>29</v>
      </c>
    </row>
    <row r="5" spans="1:6" x14ac:dyDescent="0.25">
      <c r="A5" s="7" t="s">
        <v>10</v>
      </c>
      <c r="B5" s="7" t="s">
        <v>15</v>
      </c>
      <c r="C5" s="7" t="s">
        <v>20</v>
      </c>
      <c r="E5" s="7" t="s">
        <v>30</v>
      </c>
      <c r="F5" s="7" t="s">
        <v>31</v>
      </c>
    </row>
    <row r="6" spans="1:6" x14ac:dyDescent="0.25">
      <c r="A6" s="7" t="s">
        <v>11</v>
      </c>
      <c r="B6" s="7" t="s">
        <v>16</v>
      </c>
      <c r="C6" s="7" t="s">
        <v>21</v>
      </c>
      <c r="E6" s="7" t="s">
        <v>32</v>
      </c>
      <c r="F6" s="7" t="s">
        <v>33</v>
      </c>
    </row>
    <row r="7" spans="1:6" x14ac:dyDescent="0.25">
      <c r="A7" s="7" t="s">
        <v>7</v>
      </c>
      <c r="B7" s="7" t="s">
        <v>12</v>
      </c>
      <c r="C7" s="7" t="s">
        <v>17</v>
      </c>
      <c r="E7" s="7" t="s">
        <v>34</v>
      </c>
      <c r="F7" s="7" t="s">
        <v>35</v>
      </c>
    </row>
    <row r="8" spans="1:6" x14ac:dyDescent="0.25">
      <c r="A8" s="7" t="s">
        <v>8</v>
      </c>
      <c r="B8" s="7" t="s">
        <v>13</v>
      </c>
      <c r="C8" s="7" t="s">
        <v>18</v>
      </c>
      <c r="E8" s="7" t="s">
        <v>36</v>
      </c>
      <c r="F8" s="7" t="s">
        <v>37</v>
      </c>
    </row>
    <row r="9" spans="1:6" x14ac:dyDescent="0.25">
      <c r="A9" s="7" t="s">
        <v>9</v>
      </c>
      <c r="B9" s="7" t="s">
        <v>14</v>
      </c>
      <c r="C9" s="7" t="s">
        <v>19</v>
      </c>
      <c r="E9" s="7" t="s">
        <v>38</v>
      </c>
      <c r="F9" s="7" t="s">
        <v>25</v>
      </c>
    </row>
    <row r="10" spans="1:6" x14ac:dyDescent="0.25">
      <c r="A10" s="7" t="s">
        <v>10</v>
      </c>
      <c r="B10" s="7" t="s">
        <v>15</v>
      </c>
      <c r="C10" s="7" t="s">
        <v>20</v>
      </c>
      <c r="E10" s="7" t="s">
        <v>39</v>
      </c>
      <c r="F10" s="7" t="s">
        <v>27</v>
      </c>
    </row>
    <row r="11" spans="1:6" x14ac:dyDescent="0.25">
      <c r="A11" s="7" t="s">
        <v>11</v>
      </c>
      <c r="B11" s="7" t="s">
        <v>16</v>
      </c>
      <c r="C11" s="7" t="s">
        <v>21</v>
      </c>
      <c r="E11" s="7" t="s">
        <v>40</v>
      </c>
      <c r="F11" s="7" t="s">
        <v>29</v>
      </c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3D2B02-3BF5-4230-A3BE-033FEB224CD4}">
  <dimension ref="A1:D7"/>
  <sheetViews>
    <sheetView workbookViewId="0">
      <selection activeCell="A9" sqref="A9"/>
    </sheetView>
  </sheetViews>
  <sheetFormatPr defaultRowHeight="15" x14ac:dyDescent="0.25"/>
  <cols>
    <col min="1" max="4" width="18.28515625" customWidth="1"/>
  </cols>
  <sheetData>
    <row r="1" spans="1:4" x14ac:dyDescent="0.25">
      <c r="A1" s="57" t="s">
        <v>41</v>
      </c>
      <c r="B1" s="57"/>
      <c r="C1" s="57"/>
      <c r="D1" s="57"/>
    </row>
    <row r="2" spans="1:4" ht="30" x14ac:dyDescent="0.25">
      <c r="A2" s="12" t="s">
        <v>42</v>
      </c>
      <c r="B2" s="12" t="s">
        <v>43</v>
      </c>
      <c r="C2" s="12" t="s">
        <v>44</v>
      </c>
      <c r="D2" s="12" t="s">
        <v>45</v>
      </c>
    </row>
    <row r="3" spans="1:4" x14ac:dyDescent="0.25">
      <c r="A3" s="28">
        <v>19</v>
      </c>
      <c r="B3" s="18">
        <v>5183460</v>
      </c>
      <c r="C3" s="13">
        <v>43587</v>
      </c>
      <c r="D3" s="17">
        <v>37498513547</v>
      </c>
    </row>
    <row r="4" spans="1:4" x14ac:dyDescent="0.25">
      <c r="A4" s="29">
        <v>23</v>
      </c>
      <c r="B4" s="18">
        <v>1986547</v>
      </c>
      <c r="C4" s="13">
        <v>44442</v>
      </c>
      <c r="D4" s="17">
        <v>2184521576</v>
      </c>
    </row>
    <row r="5" spans="1:4" x14ac:dyDescent="0.25">
      <c r="A5" s="29">
        <v>845</v>
      </c>
      <c r="B5" s="18">
        <v>4125687</v>
      </c>
      <c r="C5" s="13">
        <v>30502</v>
      </c>
      <c r="D5" s="17">
        <v>30349821576</v>
      </c>
    </row>
    <row r="6" spans="1:4" x14ac:dyDescent="0.25">
      <c r="A6" s="29">
        <v>1249</v>
      </c>
      <c r="B6" s="18">
        <v>4495321</v>
      </c>
      <c r="C6" s="13">
        <v>45937</v>
      </c>
      <c r="D6" s="17">
        <v>20049851583</v>
      </c>
    </row>
    <row r="7" spans="1:4" x14ac:dyDescent="0.25">
      <c r="A7" s="29">
        <v>30</v>
      </c>
      <c r="B7" s="18">
        <v>17848663</v>
      </c>
      <c r="C7" s="13">
        <v>36586</v>
      </c>
      <c r="D7" s="17">
        <v>55498702154</v>
      </c>
    </row>
  </sheetData>
  <mergeCells count="1">
    <mergeCell ref="A1:D1"/>
  </mergeCells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8A4B68-0078-4808-BD53-5631F247E162}">
  <dimension ref="A1:D13"/>
  <sheetViews>
    <sheetView workbookViewId="0">
      <selection activeCell="B14" sqref="B14"/>
    </sheetView>
  </sheetViews>
  <sheetFormatPr defaultRowHeight="15" x14ac:dyDescent="0.25"/>
  <cols>
    <col min="1" max="1" width="22.85546875" customWidth="1"/>
    <col min="2" max="2" width="27.42578125" customWidth="1"/>
    <col min="3" max="4" width="18.28515625" customWidth="1"/>
  </cols>
  <sheetData>
    <row r="1" spans="1:4" x14ac:dyDescent="0.25">
      <c r="A1" s="58" t="s">
        <v>46</v>
      </c>
      <c r="B1" s="58"/>
      <c r="C1" s="58"/>
      <c r="D1" s="58"/>
    </row>
    <row r="2" spans="1:4" x14ac:dyDescent="0.25">
      <c r="A2" s="14" t="s">
        <v>47</v>
      </c>
      <c r="B2" s="14" t="s">
        <v>48</v>
      </c>
      <c r="C2" s="14" t="s">
        <v>49</v>
      </c>
      <c r="D2" s="14" t="s">
        <v>50</v>
      </c>
    </row>
    <row r="3" spans="1:4" x14ac:dyDescent="0.25">
      <c r="A3" s="15" t="s">
        <v>68</v>
      </c>
      <c r="B3" s="15" t="s">
        <v>57</v>
      </c>
      <c r="C3" s="15" t="s">
        <v>51</v>
      </c>
      <c r="D3" s="16">
        <v>1850</v>
      </c>
    </row>
    <row r="4" spans="1:4" x14ac:dyDescent="0.25">
      <c r="A4" s="15" t="s">
        <v>71</v>
      </c>
      <c r="B4" s="15" t="s">
        <v>60</v>
      </c>
      <c r="C4" s="15" t="s">
        <v>52</v>
      </c>
      <c r="D4" s="16">
        <v>2100</v>
      </c>
    </row>
    <row r="5" spans="1:4" x14ac:dyDescent="0.25">
      <c r="A5" s="15" t="s">
        <v>69</v>
      </c>
      <c r="B5" s="15" t="s">
        <v>58</v>
      </c>
      <c r="C5" s="15" t="s">
        <v>52</v>
      </c>
      <c r="D5" s="16">
        <v>4500</v>
      </c>
    </row>
    <row r="6" spans="1:4" x14ac:dyDescent="0.25">
      <c r="A6" s="15" t="s">
        <v>75</v>
      </c>
      <c r="B6" s="15" t="s">
        <v>64</v>
      </c>
      <c r="C6" s="15" t="s">
        <v>55</v>
      </c>
      <c r="D6" s="16">
        <v>3100</v>
      </c>
    </row>
    <row r="7" spans="1:4" x14ac:dyDescent="0.25">
      <c r="A7" s="15" t="s">
        <v>73</v>
      </c>
      <c r="B7" s="15" t="s">
        <v>62</v>
      </c>
      <c r="C7" s="15" t="s">
        <v>51</v>
      </c>
      <c r="D7" s="16">
        <v>1600</v>
      </c>
    </row>
    <row r="8" spans="1:4" x14ac:dyDescent="0.25">
      <c r="A8" s="15" t="s">
        <v>67</v>
      </c>
      <c r="B8" s="15" t="s">
        <v>56</v>
      </c>
      <c r="C8" s="15" t="s">
        <v>51</v>
      </c>
      <c r="D8" s="16">
        <v>2200</v>
      </c>
    </row>
    <row r="9" spans="1:4" x14ac:dyDescent="0.25">
      <c r="A9" s="15" t="s">
        <v>72</v>
      </c>
      <c r="B9" s="15" t="s">
        <v>61</v>
      </c>
      <c r="C9" s="15" t="s">
        <v>54</v>
      </c>
      <c r="D9" s="16">
        <v>3680</v>
      </c>
    </row>
    <row r="10" spans="1:4" x14ac:dyDescent="0.25">
      <c r="A10" s="15" t="s">
        <v>76</v>
      </c>
      <c r="B10" s="15" t="s">
        <v>65</v>
      </c>
      <c r="C10" s="15" t="s">
        <v>51</v>
      </c>
      <c r="D10" s="16">
        <v>4750</v>
      </c>
    </row>
    <row r="11" spans="1:4" x14ac:dyDescent="0.25">
      <c r="A11" s="15" t="s">
        <v>74</v>
      </c>
      <c r="B11" s="15" t="s">
        <v>63</v>
      </c>
      <c r="C11" s="15" t="s">
        <v>52</v>
      </c>
      <c r="D11" s="16">
        <v>1500</v>
      </c>
    </row>
    <row r="12" spans="1:4" x14ac:dyDescent="0.25">
      <c r="A12" s="15" t="s">
        <v>70</v>
      </c>
      <c r="B12" s="15" t="s">
        <v>59</v>
      </c>
      <c r="C12" s="15" t="s">
        <v>53</v>
      </c>
      <c r="D12" s="16">
        <v>3800</v>
      </c>
    </row>
    <row r="13" spans="1:4" x14ac:dyDescent="0.25">
      <c r="A13" s="15" t="s">
        <v>77</v>
      </c>
      <c r="B13" s="15" t="s">
        <v>66</v>
      </c>
      <c r="C13" s="15" t="s">
        <v>53</v>
      </c>
      <c r="D13" s="16">
        <v>1910</v>
      </c>
    </row>
  </sheetData>
  <sortState ref="A3:D13">
    <sortCondition ref="A3"/>
  </sortState>
  <mergeCells count="1">
    <mergeCell ref="A1:D1"/>
  </mergeCells>
  <pageMargins left="0.511811024" right="0.511811024" top="0.78740157499999996" bottom="0.78740157499999996" header="0.31496062000000002" footer="0.3149606200000000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64703D-800B-4AAF-8106-183BE170F6D6}">
  <dimension ref="A1:H11"/>
  <sheetViews>
    <sheetView workbookViewId="0">
      <selection activeCell="B11" sqref="B11"/>
    </sheetView>
  </sheetViews>
  <sheetFormatPr defaultRowHeight="15" x14ac:dyDescent="0.25"/>
  <cols>
    <col min="1" max="1" width="27.42578125" customWidth="1"/>
    <col min="2" max="4" width="13.7109375" customWidth="1"/>
    <col min="5" max="5" width="18.28515625" customWidth="1"/>
    <col min="6" max="8" width="22.85546875" customWidth="1"/>
  </cols>
  <sheetData>
    <row r="1" spans="1:8" x14ac:dyDescent="0.25">
      <c r="A1" s="59" t="s">
        <v>78</v>
      </c>
      <c r="B1" s="59"/>
      <c r="C1" s="59"/>
      <c r="D1" s="59"/>
      <c r="E1" s="59"/>
      <c r="F1" s="59"/>
      <c r="G1" s="59"/>
      <c r="H1" s="59"/>
    </row>
    <row r="2" spans="1:8" ht="30" x14ac:dyDescent="0.25">
      <c r="A2" s="23" t="s">
        <v>60</v>
      </c>
      <c r="B2" s="23" t="s">
        <v>88</v>
      </c>
      <c r="C2" s="23" t="s">
        <v>89</v>
      </c>
      <c r="D2" s="23" t="s">
        <v>90</v>
      </c>
      <c r="E2" s="23" t="s">
        <v>91</v>
      </c>
      <c r="F2" s="23" t="s">
        <v>92</v>
      </c>
      <c r="G2" s="23" t="s">
        <v>93</v>
      </c>
      <c r="H2" s="23" t="s">
        <v>94</v>
      </c>
    </row>
    <row r="3" spans="1:8" x14ac:dyDescent="0.25">
      <c r="A3" s="19" t="s">
        <v>79</v>
      </c>
      <c r="B3" s="20">
        <v>10200</v>
      </c>
      <c r="C3" s="20">
        <v>12400</v>
      </c>
      <c r="D3" s="20">
        <v>15800</v>
      </c>
      <c r="E3" s="24">
        <f>SUM(B3:D3)</f>
        <v>38400</v>
      </c>
      <c r="F3" s="24">
        <f>MAX(B3:D3)</f>
        <v>15800</v>
      </c>
      <c r="G3" s="24">
        <f>MIN(B3:D3)</f>
        <v>10200</v>
      </c>
      <c r="H3" s="24">
        <f>AVERAGE(B3:D3)</f>
        <v>12800</v>
      </c>
    </row>
    <row r="4" spans="1:8" x14ac:dyDescent="0.25">
      <c r="A4" s="19" t="s">
        <v>80</v>
      </c>
      <c r="B4" s="20">
        <v>11800</v>
      </c>
      <c r="C4" s="20">
        <v>13700</v>
      </c>
      <c r="D4" s="20">
        <v>16950</v>
      </c>
      <c r="E4" s="24">
        <f t="shared" ref="E4:E7" si="0">SUM(B4:D4)</f>
        <v>42450</v>
      </c>
      <c r="F4" s="24">
        <f t="shared" ref="F4:F7" si="1">MAX(B4:D4)</f>
        <v>16950</v>
      </c>
      <c r="G4" s="24">
        <f t="shared" ref="G4:G7" si="2">MIN(B4:D4)</f>
        <v>11800</v>
      </c>
      <c r="H4" s="24">
        <f t="shared" ref="H4:H7" si="3">AVERAGE(B4:D4)</f>
        <v>14150</v>
      </c>
    </row>
    <row r="5" spans="1:8" x14ac:dyDescent="0.25">
      <c r="A5" s="19" t="s">
        <v>81</v>
      </c>
      <c r="B5" s="20">
        <v>12750</v>
      </c>
      <c r="C5" s="20">
        <v>14920</v>
      </c>
      <c r="D5" s="20">
        <v>17850</v>
      </c>
      <c r="E5" s="24">
        <f t="shared" si="0"/>
        <v>45520</v>
      </c>
      <c r="F5" s="24">
        <f t="shared" si="1"/>
        <v>17850</v>
      </c>
      <c r="G5" s="24">
        <f t="shared" si="2"/>
        <v>12750</v>
      </c>
      <c r="H5" s="24">
        <f t="shared" si="3"/>
        <v>15173.333333333334</v>
      </c>
    </row>
    <row r="6" spans="1:8" x14ac:dyDescent="0.25">
      <c r="A6" s="19" t="s">
        <v>82</v>
      </c>
      <c r="B6" s="20">
        <v>13120</v>
      </c>
      <c r="C6" s="20">
        <v>15850</v>
      </c>
      <c r="D6" s="20">
        <v>18450</v>
      </c>
      <c r="E6" s="24">
        <f t="shared" si="0"/>
        <v>47420</v>
      </c>
      <c r="F6" s="24">
        <f t="shared" si="1"/>
        <v>18450</v>
      </c>
      <c r="G6" s="24">
        <f t="shared" si="2"/>
        <v>13120</v>
      </c>
      <c r="H6" s="24">
        <f t="shared" si="3"/>
        <v>15806.666666666666</v>
      </c>
    </row>
    <row r="7" spans="1:8" x14ac:dyDescent="0.25">
      <c r="A7" s="19" t="s">
        <v>83</v>
      </c>
      <c r="B7" s="20">
        <v>14520</v>
      </c>
      <c r="C7" s="20">
        <v>16450</v>
      </c>
      <c r="D7" s="20">
        <v>19200</v>
      </c>
      <c r="E7" s="24">
        <f t="shared" si="0"/>
        <v>50170</v>
      </c>
      <c r="F7" s="24">
        <f t="shared" si="1"/>
        <v>19200</v>
      </c>
      <c r="G7" s="24">
        <f t="shared" si="2"/>
        <v>14520</v>
      </c>
      <c r="H7" s="24">
        <f t="shared" si="3"/>
        <v>16723.333333333332</v>
      </c>
    </row>
    <row r="8" spans="1:8" x14ac:dyDescent="0.25">
      <c r="A8" s="22" t="s">
        <v>84</v>
      </c>
      <c r="B8" s="21">
        <f>SUM(B3:B7)</f>
        <v>62390</v>
      </c>
      <c r="C8" s="21">
        <f t="shared" ref="C8:D8" si="4">SUM(C3:C7)</f>
        <v>73320</v>
      </c>
      <c r="D8" s="21">
        <f t="shared" si="4"/>
        <v>88250</v>
      </c>
    </row>
    <row r="9" spans="1:8" x14ac:dyDescent="0.25">
      <c r="A9" s="22" t="s">
        <v>85</v>
      </c>
      <c r="B9" s="21">
        <f>MAX(B3:B7)</f>
        <v>14520</v>
      </c>
      <c r="C9" s="21">
        <f t="shared" ref="C9:D9" si="5">MAX(C3:C7)</f>
        <v>16450</v>
      </c>
      <c r="D9" s="21">
        <f t="shared" si="5"/>
        <v>19200</v>
      </c>
    </row>
    <row r="10" spans="1:8" x14ac:dyDescent="0.25">
      <c r="A10" s="22" t="s">
        <v>86</v>
      </c>
      <c r="B10" s="21">
        <f>MIN(B3:B7)</f>
        <v>10200</v>
      </c>
      <c r="C10" s="21">
        <f t="shared" ref="C10:D10" si="6">MIN(C3:C7)</f>
        <v>12400</v>
      </c>
      <c r="D10" s="21">
        <f t="shared" si="6"/>
        <v>15800</v>
      </c>
    </row>
    <row r="11" spans="1:8" x14ac:dyDescent="0.25">
      <c r="A11" s="22" t="s">
        <v>87</v>
      </c>
      <c r="B11" s="21">
        <f>AVERAGE(B3:B7)</f>
        <v>12478</v>
      </c>
      <c r="C11" s="21">
        <f t="shared" ref="C11:D11" si="7">AVERAGE(C3:C7)</f>
        <v>14664</v>
      </c>
      <c r="D11" s="21">
        <f t="shared" si="7"/>
        <v>17650</v>
      </c>
    </row>
  </sheetData>
  <mergeCells count="1">
    <mergeCell ref="A1:H1"/>
  </mergeCells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8FCA84-D217-44B6-9336-DB4627CA9D97}">
  <dimension ref="A1:C11"/>
  <sheetViews>
    <sheetView workbookViewId="0">
      <selection activeCell="C3" sqref="C3"/>
    </sheetView>
  </sheetViews>
  <sheetFormatPr defaultRowHeight="15" x14ac:dyDescent="0.25"/>
  <cols>
    <col min="1" max="3" width="18.28515625" customWidth="1"/>
  </cols>
  <sheetData>
    <row r="1" spans="1:3" x14ac:dyDescent="0.25">
      <c r="A1" s="60" t="s">
        <v>95</v>
      </c>
      <c r="B1" s="60"/>
      <c r="C1" s="60"/>
    </row>
    <row r="2" spans="1:3" ht="30" x14ac:dyDescent="0.25">
      <c r="A2" s="25" t="s">
        <v>96</v>
      </c>
      <c r="B2" s="25" t="s">
        <v>97</v>
      </c>
      <c r="C2" s="25" t="s">
        <v>98</v>
      </c>
    </row>
    <row r="3" spans="1:3" x14ac:dyDescent="0.25">
      <c r="A3" s="26">
        <v>1200</v>
      </c>
      <c r="B3" s="27">
        <v>0.05</v>
      </c>
      <c r="C3" s="26">
        <f>PRODUCT(A3*B3)</f>
        <v>60</v>
      </c>
    </row>
    <row r="4" spans="1:3" x14ac:dyDescent="0.25">
      <c r="A4" s="26">
        <v>750</v>
      </c>
      <c r="B4" s="27">
        <v>0.08</v>
      </c>
      <c r="C4" s="26">
        <f t="shared" ref="C4:C11" si="0">PRODUCT(A4*B4)</f>
        <v>60</v>
      </c>
    </row>
    <row r="5" spans="1:3" x14ac:dyDescent="0.25">
      <c r="A5" s="26">
        <v>600</v>
      </c>
      <c r="B5" s="27">
        <v>0.12</v>
      </c>
      <c r="C5" s="26">
        <f t="shared" si="0"/>
        <v>72</v>
      </c>
    </row>
    <row r="6" spans="1:3" x14ac:dyDescent="0.25">
      <c r="A6" s="26">
        <v>320</v>
      </c>
      <c r="B6" s="27">
        <v>0.3</v>
      </c>
      <c r="C6" s="26">
        <f t="shared" si="0"/>
        <v>96</v>
      </c>
    </row>
    <row r="7" spans="1:3" x14ac:dyDescent="0.25">
      <c r="A7" s="26">
        <v>100</v>
      </c>
      <c r="B7" s="27">
        <v>0.1</v>
      </c>
      <c r="C7" s="26">
        <f t="shared" si="0"/>
        <v>10</v>
      </c>
    </row>
    <row r="8" spans="1:3" x14ac:dyDescent="0.25">
      <c r="A8" s="26">
        <v>150</v>
      </c>
      <c r="B8" s="27">
        <v>0.04</v>
      </c>
      <c r="C8" s="26">
        <f t="shared" si="0"/>
        <v>6</v>
      </c>
    </row>
    <row r="9" spans="1:3" x14ac:dyDescent="0.25">
      <c r="A9" s="26">
        <v>230</v>
      </c>
      <c r="B9" s="27">
        <v>7.0000000000000007E-2</v>
      </c>
      <c r="C9" s="26">
        <f t="shared" si="0"/>
        <v>16.100000000000001</v>
      </c>
    </row>
    <row r="10" spans="1:3" x14ac:dyDescent="0.25">
      <c r="A10" s="26">
        <v>200</v>
      </c>
      <c r="B10" s="27">
        <v>0.11</v>
      </c>
      <c r="C10" s="26">
        <f t="shared" si="0"/>
        <v>22</v>
      </c>
    </row>
    <row r="11" spans="1:3" x14ac:dyDescent="0.25">
      <c r="A11" s="26">
        <v>420</v>
      </c>
      <c r="B11" s="27">
        <v>0.25</v>
      </c>
      <c r="C11" s="26">
        <f t="shared" si="0"/>
        <v>105</v>
      </c>
    </row>
  </sheetData>
  <mergeCells count="1">
    <mergeCell ref="A1:C1"/>
  </mergeCells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F9EE0C-9114-4567-A9CA-5B55AF4A31E4}">
  <dimension ref="A1:D10"/>
  <sheetViews>
    <sheetView workbookViewId="0">
      <selection activeCell="E2" sqref="E2"/>
    </sheetView>
  </sheetViews>
  <sheetFormatPr defaultRowHeight="15" x14ac:dyDescent="0.25"/>
  <cols>
    <col min="1" max="4" width="18.28515625" customWidth="1"/>
  </cols>
  <sheetData>
    <row r="1" spans="1:4" x14ac:dyDescent="0.25">
      <c r="A1" s="60" t="s">
        <v>99</v>
      </c>
      <c r="B1" s="60"/>
      <c r="C1" s="60"/>
      <c r="D1" s="60"/>
    </row>
    <row r="2" spans="1:4" ht="30" x14ac:dyDescent="0.25">
      <c r="A2" s="25" t="s">
        <v>100</v>
      </c>
      <c r="B2" s="25" t="s">
        <v>101</v>
      </c>
      <c r="C2" s="25" t="s">
        <v>102</v>
      </c>
      <c r="D2" s="25" t="s">
        <v>103</v>
      </c>
    </row>
    <row r="3" spans="1:4" x14ac:dyDescent="0.25">
      <c r="A3" s="26">
        <v>1894</v>
      </c>
      <c r="B3" s="27">
        <v>0.15</v>
      </c>
      <c r="C3" s="26">
        <f>A3*B3</f>
        <v>284.09999999999997</v>
      </c>
      <c r="D3" s="26">
        <f>A3+C3</f>
        <v>2178.1</v>
      </c>
    </row>
    <row r="4" spans="1:4" x14ac:dyDescent="0.25">
      <c r="A4" s="26">
        <v>1245</v>
      </c>
      <c r="B4" s="27">
        <v>0.3</v>
      </c>
      <c r="C4" s="26">
        <f t="shared" ref="C4:C10" si="0">A4*B4</f>
        <v>373.5</v>
      </c>
      <c r="D4" s="26">
        <f t="shared" ref="D4:D10" si="1">A4+C4</f>
        <v>1618.5</v>
      </c>
    </row>
    <row r="5" spans="1:4" x14ac:dyDescent="0.25">
      <c r="A5" s="26">
        <v>2357</v>
      </c>
      <c r="B5" s="27">
        <v>0.18</v>
      </c>
      <c r="C5" s="26">
        <f t="shared" si="0"/>
        <v>424.26</v>
      </c>
      <c r="D5" s="26">
        <f t="shared" si="1"/>
        <v>2781.26</v>
      </c>
    </row>
    <row r="6" spans="1:4" x14ac:dyDescent="0.25">
      <c r="A6" s="26">
        <v>9124</v>
      </c>
      <c r="B6" s="27">
        <v>0.23</v>
      </c>
      <c r="C6" s="26">
        <f t="shared" si="0"/>
        <v>2098.52</v>
      </c>
      <c r="D6" s="26">
        <f t="shared" si="1"/>
        <v>11222.52</v>
      </c>
    </row>
    <row r="7" spans="1:4" x14ac:dyDescent="0.25">
      <c r="A7" s="26">
        <v>1227</v>
      </c>
      <c r="B7" s="27">
        <v>0.12</v>
      </c>
      <c r="C7" s="26">
        <f t="shared" si="0"/>
        <v>147.23999999999998</v>
      </c>
      <c r="D7" s="26">
        <f t="shared" si="1"/>
        <v>1374.24</v>
      </c>
    </row>
    <row r="8" spans="1:4" x14ac:dyDescent="0.25">
      <c r="A8" s="26">
        <v>854</v>
      </c>
      <c r="B8" s="27">
        <v>0.1</v>
      </c>
      <c r="C8" s="26">
        <f t="shared" si="0"/>
        <v>85.4</v>
      </c>
      <c r="D8" s="26">
        <f t="shared" si="1"/>
        <v>939.4</v>
      </c>
    </row>
    <row r="9" spans="1:4" x14ac:dyDescent="0.25">
      <c r="A9" s="26">
        <v>2667</v>
      </c>
      <c r="B9" s="27">
        <v>0.25</v>
      </c>
      <c r="C9" s="26">
        <f t="shared" si="0"/>
        <v>666.75</v>
      </c>
      <c r="D9" s="26">
        <f t="shared" si="1"/>
        <v>3333.75</v>
      </c>
    </row>
    <row r="10" spans="1:4" x14ac:dyDescent="0.25">
      <c r="A10" s="26">
        <v>1127</v>
      </c>
      <c r="B10" s="27">
        <v>0.15</v>
      </c>
      <c r="C10" s="26">
        <f t="shared" si="0"/>
        <v>169.04999999999998</v>
      </c>
      <c r="D10" s="26">
        <f t="shared" si="1"/>
        <v>1296.05</v>
      </c>
    </row>
  </sheetData>
  <mergeCells count="1">
    <mergeCell ref="A1:D1"/>
  </mergeCells>
  <pageMargins left="0.511811024" right="0.511811024" top="0.78740157499999996" bottom="0.78740157499999996" header="0.31496062000000002" footer="0.3149606200000000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DD62C6-82E2-41B8-8C41-992AD2E082DD}">
  <dimension ref="A1:C10"/>
  <sheetViews>
    <sheetView workbookViewId="0">
      <selection activeCell="C3" sqref="C3"/>
    </sheetView>
  </sheetViews>
  <sheetFormatPr defaultRowHeight="15" x14ac:dyDescent="0.25"/>
  <cols>
    <col min="1" max="3" width="18.28515625" customWidth="1"/>
  </cols>
  <sheetData>
    <row r="1" spans="1:3" x14ac:dyDescent="0.25">
      <c r="A1" s="61" t="s">
        <v>99</v>
      </c>
      <c r="B1" s="62"/>
      <c r="C1" s="63"/>
    </row>
    <row r="2" spans="1:3" ht="32.25" customHeight="1" x14ac:dyDescent="0.25">
      <c r="A2" s="25" t="s">
        <v>100</v>
      </c>
      <c r="B2" s="25" t="s">
        <v>101</v>
      </c>
      <c r="C2" s="25" t="s">
        <v>103</v>
      </c>
    </row>
    <row r="3" spans="1:3" x14ac:dyDescent="0.25">
      <c r="A3" s="26">
        <v>1894</v>
      </c>
      <c r="B3" s="27">
        <v>0.15</v>
      </c>
      <c r="C3" s="26">
        <f>A3+(A3*B3)</f>
        <v>2178.1</v>
      </c>
    </row>
    <row r="4" spans="1:3" x14ac:dyDescent="0.25">
      <c r="A4" s="26">
        <v>1245</v>
      </c>
      <c r="B4" s="27">
        <v>0.3</v>
      </c>
      <c r="C4" s="26">
        <f t="shared" ref="C4:C10" si="0">A4+(A4*B4)</f>
        <v>1618.5</v>
      </c>
    </row>
    <row r="5" spans="1:3" x14ac:dyDescent="0.25">
      <c r="A5" s="26">
        <v>2357</v>
      </c>
      <c r="B5" s="27">
        <v>0.18</v>
      </c>
      <c r="C5" s="26">
        <f t="shared" si="0"/>
        <v>2781.26</v>
      </c>
    </row>
    <row r="6" spans="1:3" x14ac:dyDescent="0.25">
      <c r="A6" s="26">
        <v>9124</v>
      </c>
      <c r="B6" s="27">
        <v>0.23</v>
      </c>
      <c r="C6" s="26">
        <f t="shared" si="0"/>
        <v>11222.52</v>
      </c>
    </row>
    <row r="7" spans="1:3" x14ac:dyDescent="0.25">
      <c r="A7" s="26">
        <v>1227</v>
      </c>
      <c r="B7" s="27">
        <v>0.12</v>
      </c>
      <c r="C7" s="26">
        <f t="shared" si="0"/>
        <v>1374.24</v>
      </c>
    </row>
    <row r="8" spans="1:3" x14ac:dyDescent="0.25">
      <c r="A8" s="26">
        <v>854</v>
      </c>
      <c r="B8" s="27">
        <v>0.1</v>
      </c>
      <c r="C8" s="26">
        <f t="shared" si="0"/>
        <v>939.4</v>
      </c>
    </row>
    <row r="9" spans="1:3" x14ac:dyDescent="0.25">
      <c r="A9" s="26">
        <v>2667</v>
      </c>
      <c r="B9" s="27">
        <v>0.25</v>
      </c>
      <c r="C9" s="26">
        <f t="shared" si="0"/>
        <v>3333.75</v>
      </c>
    </row>
    <row r="10" spans="1:3" x14ac:dyDescent="0.25">
      <c r="A10" s="26">
        <v>1127</v>
      </c>
      <c r="B10" s="27">
        <v>0.15</v>
      </c>
      <c r="C10" s="26">
        <f t="shared" si="0"/>
        <v>1296.05</v>
      </c>
    </row>
  </sheetData>
  <mergeCells count="1">
    <mergeCell ref="A1:C1"/>
  </mergeCells>
  <pageMargins left="0.511811024" right="0.511811024" top="0.78740157499999996" bottom="0.78740157499999996" header="0.31496062000000002" footer="0.3149606200000000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40CA74-2469-430F-A83A-D4EEEBF888D9}">
  <dimension ref="A1:D12"/>
  <sheetViews>
    <sheetView workbookViewId="0">
      <selection activeCell="E21" sqref="E21"/>
    </sheetView>
  </sheetViews>
  <sheetFormatPr defaultColWidth="18.28515625" defaultRowHeight="15" x14ac:dyDescent="0.25"/>
  <cols>
    <col min="1" max="1" width="18.28515625" customWidth="1"/>
  </cols>
  <sheetData>
    <row r="1" spans="1:4" x14ac:dyDescent="0.25">
      <c r="A1" s="60" t="s">
        <v>104</v>
      </c>
      <c r="B1" s="60"/>
      <c r="C1" s="60"/>
      <c r="D1" s="60"/>
    </row>
    <row r="2" spans="1:4" ht="30" x14ac:dyDescent="0.25">
      <c r="A2" s="25" t="s">
        <v>105</v>
      </c>
      <c r="B2" s="25" t="s">
        <v>106</v>
      </c>
      <c r="C2" s="25" t="s">
        <v>107</v>
      </c>
      <c r="D2" s="25" t="s">
        <v>108</v>
      </c>
    </row>
    <row r="3" spans="1:4" x14ac:dyDescent="0.25">
      <c r="A3" s="31">
        <v>987</v>
      </c>
      <c r="B3" s="27">
        <v>0.08</v>
      </c>
      <c r="C3" s="33">
        <f>A3*B3</f>
        <v>78.960000000000008</v>
      </c>
      <c r="D3" s="33">
        <f>A3-(A3*B3)</f>
        <v>908.04</v>
      </c>
    </row>
    <row r="4" spans="1:4" x14ac:dyDescent="0.25">
      <c r="A4" s="31">
        <v>456</v>
      </c>
      <c r="B4" s="27">
        <v>0.09</v>
      </c>
      <c r="C4" s="33">
        <f t="shared" ref="C4:C10" si="0">A4*B4</f>
        <v>41.04</v>
      </c>
      <c r="D4" s="33">
        <f t="shared" ref="D4:D10" si="1">A4-(A4*B4)</f>
        <v>414.96</v>
      </c>
    </row>
    <row r="5" spans="1:4" x14ac:dyDescent="0.25">
      <c r="A5" s="32">
        <v>2487</v>
      </c>
      <c r="B5" s="27">
        <v>0.1</v>
      </c>
      <c r="C5" s="33">
        <f t="shared" si="0"/>
        <v>248.70000000000002</v>
      </c>
      <c r="D5" s="33">
        <f t="shared" si="1"/>
        <v>2238.3000000000002</v>
      </c>
    </row>
    <row r="6" spans="1:4" x14ac:dyDescent="0.25">
      <c r="A6" s="31">
        <v>855</v>
      </c>
      <c r="B6" s="27">
        <v>0.13</v>
      </c>
      <c r="C6" s="33">
        <f t="shared" si="0"/>
        <v>111.15</v>
      </c>
      <c r="D6" s="33">
        <f t="shared" si="1"/>
        <v>743.85</v>
      </c>
    </row>
    <row r="7" spans="1:4" x14ac:dyDescent="0.25">
      <c r="A7" s="31">
        <v>724</v>
      </c>
      <c r="B7" s="27">
        <v>0.15</v>
      </c>
      <c r="C7" s="33">
        <f t="shared" si="0"/>
        <v>108.6</v>
      </c>
      <c r="D7" s="33">
        <f t="shared" si="1"/>
        <v>615.4</v>
      </c>
    </row>
    <row r="8" spans="1:4" x14ac:dyDescent="0.25">
      <c r="A8" s="31">
        <v>678</v>
      </c>
      <c r="B8" s="27">
        <v>0.09</v>
      </c>
      <c r="C8" s="33">
        <f t="shared" si="0"/>
        <v>61.019999999999996</v>
      </c>
      <c r="D8" s="33">
        <f t="shared" si="1"/>
        <v>616.98</v>
      </c>
    </row>
    <row r="9" spans="1:4" x14ac:dyDescent="0.25">
      <c r="A9" s="31">
        <v>334</v>
      </c>
      <c r="B9" s="27">
        <v>0.1</v>
      </c>
      <c r="C9" s="33">
        <f t="shared" si="0"/>
        <v>33.4</v>
      </c>
      <c r="D9" s="33">
        <f t="shared" si="1"/>
        <v>300.60000000000002</v>
      </c>
    </row>
    <row r="10" spans="1:4" x14ac:dyDescent="0.25">
      <c r="A10" s="31">
        <v>1198</v>
      </c>
      <c r="B10" s="27">
        <v>0.05</v>
      </c>
      <c r="C10" s="33">
        <f t="shared" si="0"/>
        <v>59.900000000000006</v>
      </c>
      <c r="D10" s="33">
        <f t="shared" si="1"/>
        <v>1138.0999999999999</v>
      </c>
    </row>
    <row r="11" spans="1:4" x14ac:dyDescent="0.25">
      <c r="A11" s="30"/>
      <c r="B11" s="30"/>
      <c r="C11" s="30"/>
      <c r="D11" s="30"/>
    </row>
    <row r="12" spans="1:4" x14ac:dyDescent="0.25">
      <c r="A12" s="30"/>
      <c r="B12" s="30"/>
      <c r="C12" s="30"/>
      <c r="D12" s="30"/>
    </row>
  </sheetData>
  <mergeCells count="1">
    <mergeCell ref="A1:D1"/>
  </mergeCells>
  <pageMargins left="0.511811024" right="0.511811024" top="0.78740157499999996" bottom="0.78740157499999996" header="0.31496062000000002" footer="0.3149606200000000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1A59E7-EA04-4E0E-956B-2E07B25197B8}">
  <dimension ref="A1:C10"/>
  <sheetViews>
    <sheetView workbookViewId="0">
      <selection activeCell="C15" sqref="C15"/>
    </sheetView>
  </sheetViews>
  <sheetFormatPr defaultColWidth="18.28515625" defaultRowHeight="15" x14ac:dyDescent="0.25"/>
  <sheetData>
    <row r="1" spans="1:3" x14ac:dyDescent="0.25">
      <c r="A1" s="61" t="s">
        <v>104</v>
      </c>
      <c r="B1" s="62"/>
      <c r="C1" s="63"/>
    </row>
    <row r="2" spans="1:3" ht="30" x14ac:dyDescent="0.25">
      <c r="A2" s="25" t="s">
        <v>105</v>
      </c>
      <c r="B2" s="25" t="s">
        <v>106</v>
      </c>
      <c r="C2" s="25" t="s">
        <v>108</v>
      </c>
    </row>
    <row r="3" spans="1:3" x14ac:dyDescent="0.25">
      <c r="A3" s="34">
        <v>987</v>
      </c>
      <c r="B3" s="27">
        <v>0.08</v>
      </c>
      <c r="C3" s="35">
        <f>A3-(A3*B3)</f>
        <v>908.04</v>
      </c>
    </row>
    <row r="4" spans="1:3" x14ac:dyDescent="0.25">
      <c r="A4" s="34">
        <v>456</v>
      </c>
      <c r="B4" s="27">
        <v>0.09</v>
      </c>
      <c r="C4" s="35">
        <f t="shared" ref="C4:C10" si="0">A4-(A4*B4)</f>
        <v>414.96</v>
      </c>
    </row>
    <row r="5" spans="1:3" x14ac:dyDescent="0.25">
      <c r="A5" s="36">
        <v>2487</v>
      </c>
      <c r="B5" s="27">
        <v>0.1</v>
      </c>
      <c r="C5" s="35">
        <f t="shared" si="0"/>
        <v>2238.3000000000002</v>
      </c>
    </row>
    <row r="6" spans="1:3" x14ac:dyDescent="0.25">
      <c r="A6" s="34">
        <v>855</v>
      </c>
      <c r="B6" s="27">
        <v>0.13</v>
      </c>
      <c r="C6" s="35">
        <f t="shared" si="0"/>
        <v>743.85</v>
      </c>
    </row>
    <row r="7" spans="1:3" x14ac:dyDescent="0.25">
      <c r="A7" s="34">
        <v>724</v>
      </c>
      <c r="B7" s="27">
        <v>0.15</v>
      </c>
      <c r="C7" s="35">
        <f t="shared" si="0"/>
        <v>615.4</v>
      </c>
    </row>
    <row r="8" spans="1:3" x14ac:dyDescent="0.25">
      <c r="A8" s="34">
        <v>678</v>
      </c>
      <c r="B8" s="27">
        <v>0.09</v>
      </c>
      <c r="C8" s="35">
        <f t="shared" si="0"/>
        <v>616.98</v>
      </c>
    </row>
    <row r="9" spans="1:3" x14ac:dyDescent="0.25">
      <c r="A9" s="34">
        <v>334</v>
      </c>
      <c r="B9" s="27">
        <v>0.1</v>
      </c>
      <c r="C9" s="35">
        <f t="shared" si="0"/>
        <v>300.60000000000002</v>
      </c>
    </row>
    <row r="10" spans="1:3" x14ac:dyDescent="0.25">
      <c r="A10" s="34">
        <v>1198</v>
      </c>
      <c r="B10" s="27">
        <v>0.05</v>
      </c>
      <c r="C10" s="35">
        <f t="shared" si="0"/>
        <v>1138.0999999999999</v>
      </c>
    </row>
  </sheetData>
  <mergeCells count="1">
    <mergeCell ref="A1:C1"/>
  </mergeCells>
  <pageMargins left="0.511811024" right="0.511811024" top="0.78740157499999996" bottom="0.78740157499999996" header="0.31496062000000002" footer="0.3149606200000000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785A7E-C666-4C48-B39E-3FFFD9BCE6C0}">
  <dimension ref="A1:C13"/>
  <sheetViews>
    <sheetView workbookViewId="0">
      <selection activeCell="C4" sqref="C4"/>
    </sheetView>
  </sheetViews>
  <sheetFormatPr defaultColWidth="18.28515625" defaultRowHeight="15" x14ac:dyDescent="0.25"/>
  <sheetData>
    <row r="1" spans="1:3" x14ac:dyDescent="0.25">
      <c r="A1" s="60" t="s">
        <v>112</v>
      </c>
      <c r="B1" s="60"/>
      <c r="C1" s="60"/>
    </row>
    <row r="2" spans="1:3" ht="30" x14ac:dyDescent="0.25">
      <c r="A2" s="25" t="s">
        <v>109</v>
      </c>
      <c r="B2" s="25" t="s">
        <v>110</v>
      </c>
      <c r="C2" s="25" t="s">
        <v>111</v>
      </c>
    </row>
    <row r="3" spans="1:3" x14ac:dyDescent="0.25">
      <c r="A3" s="26">
        <v>1445</v>
      </c>
      <c r="B3" s="27">
        <v>0.15</v>
      </c>
      <c r="C3" s="26">
        <f>A3+(A3*B3)</f>
        <v>1661.75</v>
      </c>
    </row>
    <row r="4" spans="1:3" x14ac:dyDescent="0.25">
      <c r="A4" s="37">
        <v>258</v>
      </c>
      <c r="B4" s="27">
        <v>0.15</v>
      </c>
      <c r="C4" s="26">
        <f t="shared" ref="C4:C13" si="0">A4+(A4*B4)</f>
        <v>296.7</v>
      </c>
    </row>
    <row r="5" spans="1:3" x14ac:dyDescent="0.25">
      <c r="A5" s="37">
        <v>702</v>
      </c>
      <c r="B5" s="27">
        <v>0.15</v>
      </c>
      <c r="C5" s="26">
        <f t="shared" si="0"/>
        <v>807.3</v>
      </c>
    </row>
    <row r="6" spans="1:3" x14ac:dyDescent="0.25">
      <c r="A6" s="37">
        <v>374</v>
      </c>
      <c r="B6" s="27">
        <v>0.15</v>
      </c>
      <c r="C6" s="26">
        <f t="shared" si="0"/>
        <v>430.1</v>
      </c>
    </row>
    <row r="7" spans="1:3" x14ac:dyDescent="0.25">
      <c r="A7" s="37">
        <v>9541</v>
      </c>
      <c r="B7" s="27">
        <v>0.15</v>
      </c>
      <c r="C7" s="26">
        <f t="shared" si="0"/>
        <v>10972.15</v>
      </c>
    </row>
    <row r="8" spans="1:3" x14ac:dyDescent="0.25">
      <c r="A8" s="37">
        <v>1459</v>
      </c>
      <c r="B8" s="27">
        <v>0.15</v>
      </c>
      <c r="C8" s="26">
        <f t="shared" si="0"/>
        <v>1677.85</v>
      </c>
    </row>
    <row r="9" spans="1:3" x14ac:dyDescent="0.25">
      <c r="A9" s="37">
        <v>1157</v>
      </c>
      <c r="B9" s="27">
        <v>0.15</v>
      </c>
      <c r="C9" s="26">
        <f t="shared" si="0"/>
        <v>1330.55</v>
      </c>
    </row>
    <row r="10" spans="1:3" x14ac:dyDescent="0.25">
      <c r="A10" s="37">
        <v>1354</v>
      </c>
      <c r="B10" s="27">
        <v>0.15</v>
      </c>
      <c r="C10" s="26">
        <f t="shared" si="0"/>
        <v>1557.1</v>
      </c>
    </row>
    <row r="11" spans="1:3" x14ac:dyDescent="0.25">
      <c r="A11" s="37">
        <v>456</v>
      </c>
      <c r="B11" s="27">
        <v>0.15</v>
      </c>
      <c r="C11" s="26">
        <f t="shared" si="0"/>
        <v>524.4</v>
      </c>
    </row>
    <row r="12" spans="1:3" x14ac:dyDescent="0.25">
      <c r="A12" s="37">
        <v>1128</v>
      </c>
      <c r="B12" s="27">
        <v>0.15</v>
      </c>
      <c r="C12" s="26">
        <f t="shared" si="0"/>
        <v>1297.2</v>
      </c>
    </row>
    <row r="13" spans="1:3" x14ac:dyDescent="0.25">
      <c r="A13" s="37">
        <v>560</v>
      </c>
      <c r="B13" s="27">
        <v>0.15</v>
      </c>
      <c r="C13" s="26">
        <f t="shared" si="0"/>
        <v>644</v>
      </c>
    </row>
  </sheetData>
  <mergeCells count="1">
    <mergeCell ref="A1:C1"/>
  </mergeCells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F9C30B-4968-4318-BE69-E5D8DC4D850C}">
  <dimension ref="A1:C13"/>
  <sheetViews>
    <sheetView workbookViewId="0">
      <selection activeCell="C3" sqref="C3"/>
    </sheetView>
  </sheetViews>
  <sheetFormatPr defaultColWidth="18.28515625" defaultRowHeight="15" x14ac:dyDescent="0.25"/>
  <sheetData>
    <row r="1" spans="1:3" x14ac:dyDescent="0.25">
      <c r="A1" s="60" t="s">
        <v>112</v>
      </c>
      <c r="B1" s="60"/>
      <c r="C1" s="60"/>
    </row>
    <row r="2" spans="1:3" ht="30" x14ac:dyDescent="0.25">
      <c r="A2" s="25" t="s">
        <v>109</v>
      </c>
      <c r="B2" s="25" t="s">
        <v>110</v>
      </c>
      <c r="C2" s="25" t="s">
        <v>111</v>
      </c>
    </row>
    <row r="3" spans="1:3" x14ac:dyDescent="0.25">
      <c r="A3" s="26">
        <v>1445</v>
      </c>
      <c r="B3" s="27">
        <v>0.15</v>
      </c>
      <c r="C3" s="26">
        <f>A3+(A3*B$3)</f>
        <v>1661.75</v>
      </c>
    </row>
    <row r="4" spans="1:3" x14ac:dyDescent="0.25">
      <c r="A4" s="37">
        <v>258</v>
      </c>
      <c r="B4" s="27"/>
      <c r="C4" s="26">
        <f t="shared" ref="C4:C13" si="0">A4+(A4*B$3)</f>
        <v>296.7</v>
      </c>
    </row>
    <row r="5" spans="1:3" x14ac:dyDescent="0.25">
      <c r="A5" s="37">
        <v>702</v>
      </c>
      <c r="B5" s="27"/>
      <c r="C5" s="26">
        <f t="shared" si="0"/>
        <v>807.3</v>
      </c>
    </row>
    <row r="6" spans="1:3" x14ac:dyDescent="0.25">
      <c r="A6" s="37">
        <v>374</v>
      </c>
      <c r="B6" s="27"/>
      <c r="C6" s="26">
        <f t="shared" si="0"/>
        <v>430.1</v>
      </c>
    </row>
    <row r="7" spans="1:3" x14ac:dyDescent="0.25">
      <c r="A7" s="37">
        <v>9541</v>
      </c>
      <c r="B7" s="27"/>
      <c r="C7" s="26">
        <f t="shared" si="0"/>
        <v>10972.15</v>
      </c>
    </row>
    <row r="8" spans="1:3" x14ac:dyDescent="0.25">
      <c r="A8" s="37">
        <v>1459</v>
      </c>
      <c r="B8" s="27"/>
      <c r="C8" s="26">
        <f t="shared" si="0"/>
        <v>1677.85</v>
      </c>
    </row>
    <row r="9" spans="1:3" x14ac:dyDescent="0.25">
      <c r="A9" s="37">
        <v>1157</v>
      </c>
      <c r="B9" s="27"/>
      <c r="C9" s="26">
        <f t="shared" si="0"/>
        <v>1330.55</v>
      </c>
    </row>
    <row r="10" spans="1:3" x14ac:dyDescent="0.25">
      <c r="A10" s="37">
        <v>1354</v>
      </c>
      <c r="B10" s="27"/>
      <c r="C10" s="26">
        <f t="shared" si="0"/>
        <v>1557.1</v>
      </c>
    </row>
    <row r="11" spans="1:3" x14ac:dyDescent="0.25">
      <c r="A11" s="37">
        <v>456</v>
      </c>
      <c r="B11" s="27"/>
      <c r="C11" s="26">
        <f t="shared" si="0"/>
        <v>524.4</v>
      </c>
    </row>
    <row r="12" spans="1:3" x14ac:dyDescent="0.25">
      <c r="A12" s="37">
        <v>1128</v>
      </c>
      <c r="B12" s="27"/>
      <c r="C12" s="26">
        <f t="shared" si="0"/>
        <v>1297.2</v>
      </c>
    </row>
    <row r="13" spans="1:3" x14ac:dyDescent="0.25">
      <c r="A13" s="37">
        <v>560</v>
      </c>
      <c r="B13" s="27"/>
      <c r="C13" s="26">
        <f t="shared" si="0"/>
        <v>644</v>
      </c>
    </row>
  </sheetData>
  <mergeCells count="1">
    <mergeCell ref="A1:C1"/>
  </mergeCells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680FA7-9308-4E2E-9158-5E085F4EB1F7}">
  <dimension ref="A1:G13"/>
  <sheetViews>
    <sheetView workbookViewId="0">
      <selection activeCell="C2" sqref="C2"/>
    </sheetView>
  </sheetViews>
  <sheetFormatPr defaultColWidth="18.28515625" defaultRowHeight="15" x14ac:dyDescent="0.25"/>
  <cols>
    <col min="5" max="7" width="27.42578125" customWidth="1"/>
  </cols>
  <sheetData>
    <row r="1" spans="1:7" x14ac:dyDescent="0.25">
      <c r="A1" s="64" t="s">
        <v>113</v>
      </c>
      <c r="B1" s="64"/>
      <c r="C1" s="64"/>
      <c r="D1" s="64"/>
      <c r="E1" s="64"/>
      <c r="F1" s="64"/>
      <c r="G1" s="64"/>
    </row>
    <row r="2" spans="1:7" ht="30" x14ac:dyDescent="0.25">
      <c r="A2" s="38" t="s">
        <v>114</v>
      </c>
      <c r="B2" s="38" t="s">
        <v>115</v>
      </c>
      <c r="C2" s="38" t="s">
        <v>116</v>
      </c>
      <c r="D2" s="38" t="s">
        <v>110</v>
      </c>
      <c r="E2" s="38" t="s">
        <v>117</v>
      </c>
      <c r="F2" s="38" t="s">
        <v>118</v>
      </c>
      <c r="G2" s="38" t="s">
        <v>119</v>
      </c>
    </row>
    <row r="3" spans="1:7" x14ac:dyDescent="0.25">
      <c r="A3" s="37">
        <v>1445</v>
      </c>
      <c r="B3" s="37">
        <v>1285</v>
      </c>
      <c r="C3" s="37">
        <v>1322</v>
      </c>
      <c r="D3" s="27">
        <v>0.15</v>
      </c>
      <c r="E3" s="26">
        <f>A3+(A3*$D$3)</f>
        <v>1661.75</v>
      </c>
      <c r="F3" s="26">
        <f t="shared" ref="F3:G3" si="0">B3+(B3*$D$3)</f>
        <v>1477.75</v>
      </c>
      <c r="G3" s="26">
        <f t="shared" si="0"/>
        <v>1520.3</v>
      </c>
    </row>
    <row r="4" spans="1:7" x14ac:dyDescent="0.25">
      <c r="A4" s="37">
        <v>258</v>
      </c>
      <c r="B4" s="37">
        <v>198</v>
      </c>
      <c r="C4" s="37">
        <v>235</v>
      </c>
      <c r="D4" s="19"/>
      <c r="E4" s="26">
        <f t="shared" ref="E4:E13" si="1">A4+(A4*$D$3)</f>
        <v>296.7</v>
      </c>
      <c r="F4" s="26">
        <f t="shared" ref="F4:F13" si="2">B4+(B4*$D$3)</f>
        <v>227.7</v>
      </c>
      <c r="G4" s="26">
        <f t="shared" ref="G4:G13" si="3">C4+(C4*$D$3)</f>
        <v>270.25</v>
      </c>
    </row>
    <row r="5" spans="1:7" x14ac:dyDescent="0.25">
      <c r="A5" s="37">
        <v>702</v>
      </c>
      <c r="B5" s="37">
        <v>768</v>
      </c>
      <c r="C5" s="37">
        <v>755</v>
      </c>
      <c r="D5" s="19"/>
      <c r="E5" s="26">
        <f t="shared" si="1"/>
        <v>807.3</v>
      </c>
      <c r="F5" s="26">
        <f t="shared" si="2"/>
        <v>883.2</v>
      </c>
      <c r="G5" s="26">
        <f t="shared" si="3"/>
        <v>868.25</v>
      </c>
    </row>
    <row r="6" spans="1:7" x14ac:dyDescent="0.25">
      <c r="A6" s="37">
        <v>374</v>
      </c>
      <c r="B6" s="37">
        <v>342</v>
      </c>
      <c r="C6" s="37">
        <v>314</v>
      </c>
      <c r="D6" s="19"/>
      <c r="E6" s="26">
        <f t="shared" si="1"/>
        <v>430.1</v>
      </c>
      <c r="F6" s="26">
        <f t="shared" si="2"/>
        <v>393.3</v>
      </c>
      <c r="G6" s="26">
        <f t="shared" si="3"/>
        <v>361.1</v>
      </c>
    </row>
    <row r="7" spans="1:7" x14ac:dyDescent="0.25">
      <c r="A7" s="37">
        <v>9541</v>
      </c>
      <c r="B7" s="37">
        <v>9124</v>
      </c>
      <c r="C7" s="37">
        <v>10124</v>
      </c>
      <c r="D7" s="19"/>
      <c r="E7" s="26">
        <f t="shared" si="1"/>
        <v>10972.15</v>
      </c>
      <c r="F7" s="26">
        <f t="shared" si="2"/>
        <v>10492.6</v>
      </c>
      <c r="G7" s="26">
        <f t="shared" si="3"/>
        <v>11642.6</v>
      </c>
    </row>
    <row r="8" spans="1:7" x14ac:dyDescent="0.25">
      <c r="A8" s="37">
        <v>1459</v>
      </c>
      <c r="B8" s="37">
        <v>1678</v>
      </c>
      <c r="C8" s="37">
        <v>1174</v>
      </c>
      <c r="D8" s="19"/>
      <c r="E8" s="26">
        <f t="shared" si="1"/>
        <v>1677.85</v>
      </c>
      <c r="F8" s="26">
        <f t="shared" si="2"/>
        <v>1929.7</v>
      </c>
      <c r="G8" s="26">
        <f t="shared" si="3"/>
        <v>1350.1</v>
      </c>
    </row>
    <row r="9" spans="1:7" x14ac:dyDescent="0.25">
      <c r="A9" s="37">
        <v>1157</v>
      </c>
      <c r="B9" s="37">
        <v>1002</v>
      </c>
      <c r="C9" s="37">
        <v>945</v>
      </c>
      <c r="D9" s="19"/>
      <c r="E9" s="26">
        <f t="shared" si="1"/>
        <v>1330.55</v>
      </c>
      <c r="F9" s="26">
        <f t="shared" si="2"/>
        <v>1152.3</v>
      </c>
      <c r="G9" s="26">
        <f t="shared" si="3"/>
        <v>1086.75</v>
      </c>
    </row>
    <row r="10" spans="1:7" x14ac:dyDescent="0.25">
      <c r="A10" s="37">
        <v>1354</v>
      </c>
      <c r="B10" s="37">
        <v>1345</v>
      </c>
      <c r="C10" s="37">
        <v>1554</v>
      </c>
      <c r="D10" s="19"/>
      <c r="E10" s="26">
        <f t="shared" si="1"/>
        <v>1557.1</v>
      </c>
      <c r="F10" s="26">
        <f t="shared" si="2"/>
        <v>1546.75</v>
      </c>
      <c r="G10" s="26">
        <f t="shared" si="3"/>
        <v>1787.1</v>
      </c>
    </row>
    <row r="11" spans="1:7" x14ac:dyDescent="0.25">
      <c r="A11" s="37">
        <v>456</v>
      </c>
      <c r="B11" s="37">
        <v>467</v>
      </c>
      <c r="C11" s="37">
        <v>544</v>
      </c>
      <c r="D11" s="19"/>
      <c r="E11" s="26">
        <f t="shared" si="1"/>
        <v>524.4</v>
      </c>
      <c r="F11" s="26">
        <f t="shared" si="2"/>
        <v>537.04999999999995</v>
      </c>
      <c r="G11" s="26">
        <f t="shared" si="3"/>
        <v>625.6</v>
      </c>
    </row>
    <row r="12" spans="1:7" x14ac:dyDescent="0.25">
      <c r="A12" s="37">
        <v>1128</v>
      </c>
      <c r="B12" s="37">
        <v>1174</v>
      </c>
      <c r="C12" s="37">
        <v>1127</v>
      </c>
      <c r="D12" s="19"/>
      <c r="E12" s="26">
        <f t="shared" si="1"/>
        <v>1297.2</v>
      </c>
      <c r="F12" s="26">
        <f t="shared" si="2"/>
        <v>1350.1</v>
      </c>
      <c r="G12" s="26">
        <f t="shared" si="3"/>
        <v>1296.05</v>
      </c>
    </row>
    <row r="13" spans="1:7" x14ac:dyDescent="0.25">
      <c r="A13" s="37">
        <v>560</v>
      </c>
      <c r="B13" s="37">
        <v>548</v>
      </c>
      <c r="C13" s="37">
        <v>657</v>
      </c>
      <c r="D13" s="19"/>
      <c r="E13" s="26">
        <f t="shared" si="1"/>
        <v>644</v>
      </c>
      <c r="F13" s="26">
        <f t="shared" si="2"/>
        <v>630.20000000000005</v>
      </c>
      <c r="G13" s="26">
        <f t="shared" si="3"/>
        <v>755.55</v>
      </c>
    </row>
  </sheetData>
  <mergeCells count="1">
    <mergeCell ref="A1:G1"/>
  </mergeCells>
  <pageMargins left="0.511811024" right="0.511811024" top="0.78740157499999996" bottom="0.78740157499999996" header="0.31496062000000002" footer="0.3149606200000000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8E3AA0-8A77-4663-8656-98F804E30CB8}">
  <dimension ref="A1:E13"/>
  <sheetViews>
    <sheetView workbookViewId="0">
      <selection activeCell="E13" sqref="E13"/>
    </sheetView>
  </sheetViews>
  <sheetFormatPr defaultColWidth="18.28515625" defaultRowHeight="15" x14ac:dyDescent="0.25"/>
  <cols>
    <col min="1" max="1" width="18.28515625" customWidth="1"/>
  </cols>
  <sheetData>
    <row r="1" spans="1:5" x14ac:dyDescent="0.25">
      <c r="A1" s="64" t="s">
        <v>120</v>
      </c>
      <c r="B1" s="65"/>
      <c r="C1" s="65"/>
      <c r="D1" s="65"/>
      <c r="E1" s="65"/>
    </row>
    <row r="2" spans="1:5" ht="30" x14ac:dyDescent="0.25">
      <c r="A2" s="38" t="s">
        <v>121</v>
      </c>
      <c r="B2" s="38" t="s">
        <v>122</v>
      </c>
      <c r="C2" s="38" t="s">
        <v>123</v>
      </c>
      <c r="D2" s="38" t="s">
        <v>124</v>
      </c>
      <c r="E2" s="38" t="s">
        <v>125</v>
      </c>
    </row>
    <row r="3" spans="1:5" x14ac:dyDescent="0.25">
      <c r="A3" s="40" t="s">
        <v>126</v>
      </c>
      <c r="B3" s="40" t="s">
        <v>136</v>
      </c>
      <c r="C3" s="42">
        <v>100</v>
      </c>
      <c r="D3" s="41">
        <v>12.8</v>
      </c>
      <c r="E3" s="41">
        <f>PRODUCT(C3:D3)</f>
        <v>1280</v>
      </c>
    </row>
    <row r="4" spans="1:5" x14ac:dyDescent="0.25">
      <c r="A4" s="40" t="s">
        <v>127</v>
      </c>
      <c r="B4" s="40" t="s">
        <v>137</v>
      </c>
      <c r="C4" s="42">
        <v>45</v>
      </c>
      <c r="D4" s="41">
        <v>25.6</v>
      </c>
      <c r="E4" s="41">
        <f t="shared" ref="E4:E12" si="0">PRODUCT(C4:D4)</f>
        <v>1152</v>
      </c>
    </row>
    <row r="5" spans="1:5" x14ac:dyDescent="0.25">
      <c r="A5" s="40" t="s">
        <v>128</v>
      </c>
      <c r="B5" s="40" t="s">
        <v>138</v>
      </c>
      <c r="C5" s="42">
        <v>5000</v>
      </c>
      <c r="D5" s="41">
        <v>0.25</v>
      </c>
      <c r="E5" s="41">
        <f t="shared" si="0"/>
        <v>1250</v>
      </c>
    </row>
    <row r="6" spans="1:5" x14ac:dyDescent="0.25">
      <c r="A6" s="40" t="s">
        <v>129</v>
      </c>
      <c r="B6" s="40" t="s">
        <v>139</v>
      </c>
      <c r="C6" s="42">
        <v>6</v>
      </c>
      <c r="D6" s="41">
        <v>289</v>
      </c>
      <c r="E6" s="41">
        <f t="shared" si="0"/>
        <v>1734</v>
      </c>
    </row>
    <row r="7" spans="1:5" x14ac:dyDescent="0.25">
      <c r="A7" s="40" t="s">
        <v>130</v>
      </c>
      <c r="B7" s="40" t="s">
        <v>140</v>
      </c>
      <c r="C7" s="42">
        <v>38</v>
      </c>
      <c r="D7" s="41">
        <v>18</v>
      </c>
      <c r="E7" s="41">
        <f t="shared" si="0"/>
        <v>684</v>
      </c>
    </row>
    <row r="8" spans="1:5" x14ac:dyDescent="0.25">
      <c r="A8" s="40" t="s">
        <v>131</v>
      </c>
      <c r="B8" s="40" t="s">
        <v>141</v>
      </c>
      <c r="C8" s="42">
        <v>20</v>
      </c>
      <c r="D8" s="41">
        <v>32</v>
      </c>
      <c r="E8" s="41">
        <f t="shared" si="0"/>
        <v>640</v>
      </c>
    </row>
    <row r="9" spans="1:5" x14ac:dyDescent="0.25">
      <c r="A9" s="40" t="s">
        <v>132</v>
      </c>
      <c r="B9" s="40" t="s">
        <v>142</v>
      </c>
      <c r="C9" s="42">
        <v>2</v>
      </c>
      <c r="D9" s="41">
        <v>550</v>
      </c>
      <c r="E9" s="41">
        <f t="shared" si="0"/>
        <v>1100</v>
      </c>
    </row>
    <row r="10" spans="1:5" x14ac:dyDescent="0.25">
      <c r="A10" s="40" t="s">
        <v>133</v>
      </c>
      <c r="B10" s="40" t="s">
        <v>143</v>
      </c>
      <c r="C10" s="42">
        <v>3</v>
      </c>
      <c r="D10" s="41">
        <v>950</v>
      </c>
      <c r="E10" s="41">
        <f t="shared" si="0"/>
        <v>2850</v>
      </c>
    </row>
    <row r="11" spans="1:5" x14ac:dyDescent="0.25">
      <c r="A11" s="40" t="s">
        <v>134</v>
      </c>
      <c r="B11" s="40" t="s">
        <v>144</v>
      </c>
      <c r="C11" s="42">
        <v>8</v>
      </c>
      <c r="D11" s="41">
        <v>112</v>
      </c>
      <c r="E11" s="41">
        <f t="shared" si="0"/>
        <v>896</v>
      </c>
    </row>
    <row r="12" spans="1:5" x14ac:dyDescent="0.25">
      <c r="A12" s="40" t="s">
        <v>135</v>
      </c>
      <c r="B12" s="40" t="s">
        <v>145</v>
      </c>
      <c r="C12" s="42">
        <v>1200</v>
      </c>
      <c r="D12" s="41">
        <v>0.85</v>
      </c>
      <c r="E12" s="41">
        <f t="shared" si="0"/>
        <v>1020</v>
      </c>
    </row>
    <row r="13" spans="1:5" x14ac:dyDescent="0.25">
      <c r="A13" s="7"/>
      <c r="B13" s="7"/>
      <c r="C13" s="66" t="s">
        <v>146</v>
      </c>
      <c r="D13" s="67"/>
      <c r="E13" s="43">
        <f>SUM(E3:E12)</f>
        <v>12606</v>
      </c>
    </row>
  </sheetData>
  <mergeCells count="2">
    <mergeCell ref="A1:E1"/>
    <mergeCell ref="C13:D13"/>
  </mergeCells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812515-6823-4426-ACBC-81E1EEA6A69F}">
  <dimension ref="A1:C11"/>
  <sheetViews>
    <sheetView workbookViewId="0">
      <selection activeCell="D15" sqref="D15"/>
    </sheetView>
  </sheetViews>
  <sheetFormatPr defaultColWidth="18.28515625" defaultRowHeight="15" x14ac:dyDescent="0.25"/>
  <cols>
    <col min="3" max="3" width="27.140625" customWidth="1"/>
  </cols>
  <sheetData>
    <row r="1" spans="1:3" x14ac:dyDescent="0.25">
      <c r="A1" s="66" t="s">
        <v>148</v>
      </c>
      <c r="B1" s="68"/>
      <c r="C1" s="67"/>
    </row>
    <row r="2" spans="1:3" ht="45" x14ac:dyDescent="0.25">
      <c r="A2" s="39" t="s">
        <v>149</v>
      </c>
      <c r="B2" s="39" t="s">
        <v>150</v>
      </c>
      <c r="C2" s="38" t="s">
        <v>151</v>
      </c>
    </row>
    <row r="3" spans="1:3" x14ac:dyDescent="0.25">
      <c r="A3" s="45" t="s">
        <v>152</v>
      </c>
      <c r="B3" s="41">
        <v>70</v>
      </c>
      <c r="C3" s="46">
        <f>B3/B$11</f>
        <v>1.9564002235885971E-2</v>
      </c>
    </row>
    <row r="4" spans="1:3" x14ac:dyDescent="0.25">
      <c r="A4" s="45" t="s">
        <v>153</v>
      </c>
      <c r="B4" s="41">
        <v>93</v>
      </c>
      <c r="C4" s="46">
        <f t="shared" ref="C4:C9" si="0">B4/B$11</f>
        <v>2.5992174399105644E-2</v>
      </c>
    </row>
    <row r="5" spans="1:3" x14ac:dyDescent="0.25">
      <c r="A5" s="45" t="s">
        <v>154</v>
      </c>
      <c r="B5" s="41">
        <v>49.99</v>
      </c>
      <c r="C5" s="46">
        <f t="shared" si="0"/>
        <v>1.3971492453884852E-2</v>
      </c>
    </row>
    <row r="6" spans="1:3" x14ac:dyDescent="0.25">
      <c r="A6" s="45" t="s">
        <v>155</v>
      </c>
      <c r="B6" s="41">
        <v>859</v>
      </c>
      <c r="C6" s="46">
        <f t="shared" si="0"/>
        <v>0.24007825600894353</v>
      </c>
    </row>
    <row r="7" spans="1:3" x14ac:dyDescent="0.25">
      <c r="A7" s="45" t="s">
        <v>156</v>
      </c>
      <c r="B7" s="41">
        <v>560</v>
      </c>
      <c r="C7" s="46">
        <f t="shared" si="0"/>
        <v>0.15651201788708777</v>
      </c>
    </row>
    <row r="8" spans="1:3" x14ac:dyDescent="0.25">
      <c r="A8" s="45" t="s">
        <v>157</v>
      </c>
      <c r="B8" s="41">
        <v>320</v>
      </c>
      <c r="C8" s="46">
        <f t="shared" si="0"/>
        <v>8.9435438792621572E-2</v>
      </c>
    </row>
    <row r="9" spans="1:3" x14ac:dyDescent="0.25">
      <c r="A9" s="45" t="s">
        <v>158</v>
      </c>
      <c r="B9" s="41">
        <v>200</v>
      </c>
      <c r="C9" s="46">
        <f t="shared" si="0"/>
        <v>5.5897149245388487E-2</v>
      </c>
    </row>
    <row r="10" spans="1:3" x14ac:dyDescent="0.25">
      <c r="B10" s="32"/>
      <c r="C10" s="47"/>
    </row>
    <row r="11" spans="1:3" x14ac:dyDescent="0.25">
      <c r="A11" s="44" t="s">
        <v>147</v>
      </c>
      <c r="B11" s="41">
        <v>3578</v>
      </c>
    </row>
  </sheetData>
  <mergeCells count="1">
    <mergeCell ref="A1:C1"/>
  </mergeCells>
  <pageMargins left="0.511811024" right="0.511811024" top="0.78740157499999996" bottom="0.78740157499999996" header="0.31496062000000002" footer="0.3149606200000000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51A2A5-9BB5-4A5A-8204-131F47308032}">
  <dimension ref="A1:D9"/>
  <sheetViews>
    <sheetView workbookViewId="0">
      <selection activeCell="D7" sqref="D7"/>
    </sheetView>
  </sheetViews>
  <sheetFormatPr defaultColWidth="18.28515625" defaultRowHeight="15" x14ac:dyDescent="0.25"/>
  <sheetData>
    <row r="1" spans="1:4" x14ac:dyDescent="0.25">
      <c r="A1" s="69" t="s">
        <v>159</v>
      </c>
      <c r="B1" s="70"/>
      <c r="C1" s="70"/>
      <c r="D1" s="71"/>
    </row>
    <row r="2" spans="1:4" ht="30" x14ac:dyDescent="0.25">
      <c r="A2" s="38" t="s">
        <v>160</v>
      </c>
      <c r="B2" s="38" t="s">
        <v>161</v>
      </c>
      <c r="C2" s="38" t="s">
        <v>162</v>
      </c>
      <c r="D2" s="38" t="s">
        <v>163</v>
      </c>
    </row>
    <row r="3" spans="1:4" x14ac:dyDescent="0.25">
      <c r="A3" s="19" t="s">
        <v>165</v>
      </c>
      <c r="B3" s="37">
        <v>1099</v>
      </c>
      <c r="C3" s="26">
        <f>$B$9*B3</f>
        <v>164.85</v>
      </c>
      <c r="D3" s="26">
        <f>SUM(B3:C3)</f>
        <v>1263.8499999999999</v>
      </c>
    </row>
    <row r="4" spans="1:4" x14ac:dyDescent="0.25">
      <c r="A4" s="19" t="s">
        <v>166</v>
      </c>
      <c r="B4" s="37">
        <v>799</v>
      </c>
      <c r="C4" s="26">
        <f t="shared" ref="C4:C7" si="0">$B$9*B4</f>
        <v>119.85</v>
      </c>
      <c r="D4" s="26">
        <f t="shared" ref="D4:D7" si="1">SUM(B4:C4)</f>
        <v>918.85</v>
      </c>
    </row>
    <row r="5" spans="1:4" x14ac:dyDescent="0.25">
      <c r="A5" s="19" t="s">
        <v>167</v>
      </c>
      <c r="B5" s="37">
        <v>359</v>
      </c>
      <c r="C5" s="26">
        <f t="shared" si="0"/>
        <v>53.85</v>
      </c>
      <c r="D5" s="26">
        <f t="shared" si="1"/>
        <v>412.85</v>
      </c>
    </row>
    <row r="6" spans="1:4" x14ac:dyDescent="0.25">
      <c r="A6" s="19" t="s">
        <v>168</v>
      </c>
      <c r="B6" s="37">
        <v>1299</v>
      </c>
      <c r="C6" s="26">
        <f t="shared" si="0"/>
        <v>194.85</v>
      </c>
      <c r="D6" s="26">
        <f t="shared" si="1"/>
        <v>1493.85</v>
      </c>
    </row>
    <row r="7" spans="1:4" x14ac:dyDescent="0.25">
      <c r="A7" s="19" t="s">
        <v>169</v>
      </c>
      <c r="B7" s="37">
        <v>899</v>
      </c>
      <c r="C7" s="26">
        <f t="shared" si="0"/>
        <v>134.85</v>
      </c>
      <c r="D7" s="26">
        <f t="shared" si="1"/>
        <v>1033.8499999999999</v>
      </c>
    </row>
    <row r="9" spans="1:4" x14ac:dyDescent="0.25">
      <c r="A9" s="39" t="s">
        <v>164</v>
      </c>
      <c r="B9" s="27">
        <v>0.15</v>
      </c>
    </row>
  </sheetData>
  <mergeCells count="1">
    <mergeCell ref="A1:D1"/>
  </mergeCells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7E86F2-FBFA-4CF9-B1EE-216F5AE4C53B}">
  <dimension ref="A1:F18"/>
  <sheetViews>
    <sheetView tabSelected="1" workbookViewId="0">
      <selection activeCell="F19" sqref="F19"/>
    </sheetView>
  </sheetViews>
  <sheetFormatPr defaultColWidth="18.28515625" defaultRowHeight="15" x14ac:dyDescent="0.25"/>
  <sheetData>
    <row r="1" spans="1:6" x14ac:dyDescent="0.25">
      <c r="A1" s="69" t="s">
        <v>171</v>
      </c>
      <c r="B1" s="70"/>
      <c r="C1" s="70"/>
      <c r="D1" s="70"/>
      <c r="E1" s="70"/>
      <c r="F1" s="71"/>
    </row>
    <row r="2" spans="1:6" ht="30" x14ac:dyDescent="0.25">
      <c r="A2" s="38" t="s">
        <v>170</v>
      </c>
      <c r="B2" s="38" t="s">
        <v>172</v>
      </c>
      <c r="C2" s="38" t="s">
        <v>173</v>
      </c>
      <c r="D2" s="38" t="s">
        <v>174</v>
      </c>
      <c r="E2" s="38" t="s">
        <v>175</v>
      </c>
      <c r="F2" s="38" t="s">
        <v>176</v>
      </c>
    </row>
    <row r="3" spans="1:6" x14ac:dyDescent="0.25">
      <c r="A3" s="49" t="s">
        <v>181</v>
      </c>
      <c r="B3" s="48">
        <v>41641</v>
      </c>
      <c r="C3" s="48">
        <v>41644</v>
      </c>
      <c r="D3" s="41">
        <v>127.9</v>
      </c>
      <c r="E3" s="40">
        <f>_xlfn.DAYS(C3,B3)</f>
        <v>3</v>
      </c>
      <c r="F3" s="41">
        <f>PRODUCT(D3:E3)</f>
        <v>383.70000000000005</v>
      </c>
    </row>
    <row r="4" spans="1:6" x14ac:dyDescent="0.25">
      <c r="A4" s="49" t="s">
        <v>182</v>
      </c>
      <c r="B4" s="48">
        <v>41640</v>
      </c>
      <c r="C4" s="48">
        <v>41649</v>
      </c>
      <c r="D4" s="41">
        <v>185.6</v>
      </c>
      <c r="E4" s="40">
        <f>_xlfn.DAYS(C4,B4)</f>
        <v>9</v>
      </c>
      <c r="F4" s="41">
        <f t="shared" ref="F4:F14" si="0">PRODUCT(D4:E4)</f>
        <v>1670.3999999999999</v>
      </c>
    </row>
    <row r="5" spans="1:6" x14ac:dyDescent="0.25">
      <c r="A5" s="49" t="s">
        <v>183</v>
      </c>
      <c r="B5" s="48">
        <v>41644</v>
      </c>
      <c r="C5" s="48">
        <v>41648</v>
      </c>
      <c r="D5" s="41">
        <v>240.36</v>
      </c>
      <c r="E5" s="40">
        <f t="shared" ref="E5:E14" si="1">_xlfn.DAYS(C5,B5)</f>
        <v>4</v>
      </c>
      <c r="F5" s="41">
        <f t="shared" si="0"/>
        <v>961.44</v>
      </c>
    </row>
    <row r="6" spans="1:6" x14ac:dyDescent="0.25">
      <c r="A6" s="49" t="s">
        <v>184</v>
      </c>
      <c r="B6" s="48">
        <v>41649</v>
      </c>
      <c r="C6" s="48">
        <v>41651</v>
      </c>
      <c r="D6" s="41">
        <v>175.9</v>
      </c>
      <c r="E6" s="40">
        <f t="shared" si="1"/>
        <v>2</v>
      </c>
      <c r="F6" s="41">
        <f t="shared" si="0"/>
        <v>351.8</v>
      </c>
    </row>
    <row r="7" spans="1:6" x14ac:dyDescent="0.25">
      <c r="A7" s="49" t="s">
        <v>185</v>
      </c>
      <c r="B7" s="48">
        <v>41657</v>
      </c>
      <c r="C7" s="48">
        <v>41659</v>
      </c>
      <c r="D7" s="41">
        <v>80.25</v>
      </c>
      <c r="E7" s="40">
        <f t="shared" si="1"/>
        <v>2</v>
      </c>
      <c r="F7" s="41">
        <f t="shared" si="0"/>
        <v>160.5</v>
      </c>
    </row>
    <row r="8" spans="1:6" x14ac:dyDescent="0.25">
      <c r="A8" s="49" t="s">
        <v>186</v>
      </c>
      <c r="B8" s="48">
        <v>41646</v>
      </c>
      <c r="C8" s="48">
        <v>41651</v>
      </c>
      <c r="D8" s="41">
        <v>110.75</v>
      </c>
      <c r="E8" s="40">
        <f t="shared" si="1"/>
        <v>5</v>
      </c>
      <c r="F8" s="41">
        <f t="shared" si="0"/>
        <v>553.75</v>
      </c>
    </row>
    <row r="9" spans="1:6" x14ac:dyDescent="0.25">
      <c r="A9" s="49" t="s">
        <v>187</v>
      </c>
      <c r="B9" s="48">
        <v>41645</v>
      </c>
      <c r="C9" s="48">
        <v>41647</v>
      </c>
      <c r="D9" s="41">
        <v>150.6</v>
      </c>
      <c r="E9" s="40">
        <f t="shared" si="1"/>
        <v>2</v>
      </c>
      <c r="F9" s="41">
        <f t="shared" si="0"/>
        <v>301.2</v>
      </c>
    </row>
    <row r="10" spans="1:6" x14ac:dyDescent="0.25">
      <c r="A10" s="49" t="s">
        <v>188</v>
      </c>
      <c r="B10" s="48">
        <v>41651</v>
      </c>
      <c r="C10" s="48">
        <v>41660</v>
      </c>
      <c r="D10" s="41">
        <v>132.5</v>
      </c>
      <c r="E10" s="40">
        <f t="shared" si="1"/>
        <v>9</v>
      </c>
      <c r="F10" s="41">
        <f t="shared" si="0"/>
        <v>1192.5</v>
      </c>
    </row>
    <row r="11" spans="1:6" x14ac:dyDescent="0.25">
      <c r="A11" s="49" t="s">
        <v>189</v>
      </c>
      <c r="B11" s="48">
        <v>41660</v>
      </c>
      <c r="C11" s="48">
        <v>41664</v>
      </c>
      <c r="D11" s="41">
        <v>130.9</v>
      </c>
      <c r="E11" s="40">
        <f t="shared" si="1"/>
        <v>4</v>
      </c>
      <c r="F11" s="41">
        <f t="shared" si="0"/>
        <v>523.6</v>
      </c>
    </row>
    <row r="12" spans="1:6" x14ac:dyDescent="0.25">
      <c r="A12" s="49" t="s">
        <v>190</v>
      </c>
      <c r="B12" s="48">
        <v>41657</v>
      </c>
      <c r="C12" s="48">
        <v>41662</v>
      </c>
      <c r="D12" s="41">
        <v>150.44999999999999</v>
      </c>
      <c r="E12" s="40">
        <f t="shared" si="1"/>
        <v>5</v>
      </c>
      <c r="F12" s="41">
        <f t="shared" si="0"/>
        <v>752.25</v>
      </c>
    </row>
    <row r="13" spans="1:6" x14ac:dyDescent="0.25">
      <c r="A13" s="49" t="s">
        <v>191</v>
      </c>
      <c r="B13" s="48">
        <v>41642</v>
      </c>
      <c r="C13" s="48">
        <v>41656</v>
      </c>
      <c r="D13" s="41">
        <v>114.8</v>
      </c>
      <c r="E13" s="40">
        <f t="shared" si="1"/>
        <v>14</v>
      </c>
      <c r="F13" s="41">
        <f t="shared" si="0"/>
        <v>1607.2</v>
      </c>
    </row>
    <row r="14" spans="1:6" x14ac:dyDescent="0.25">
      <c r="A14" s="49" t="s">
        <v>192</v>
      </c>
      <c r="B14" s="48">
        <v>41646</v>
      </c>
      <c r="C14" s="48">
        <v>41647</v>
      </c>
      <c r="D14" s="41">
        <v>210.9</v>
      </c>
      <c r="E14" s="40">
        <f t="shared" si="1"/>
        <v>1</v>
      </c>
      <c r="F14" s="41">
        <f t="shared" si="0"/>
        <v>210.9</v>
      </c>
    </row>
    <row r="15" spans="1:6" x14ac:dyDescent="0.25">
      <c r="D15" s="65" t="s">
        <v>177</v>
      </c>
      <c r="E15" s="65"/>
      <c r="F15" s="26">
        <f>SUM(F3:F14)</f>
        <v>8669.24</v>
      </c>
    </row>
    <row r="16" spans="1:6" x14ac:dyDescent="0.25">
      <c r="D16" s="65" t="s">
        <v>178</v>
      </c>
      <c r="E16" s="65"/>
      <c r="F16" s="26">
        <f>AVERAGE(F3:F14)</f>
        <v>722.43666666666661</v>
      </c>
    </row>
    <row r="17" spans="4:6" x14ac:dyDescent="0.25">
      <c r="D17" s="65" t="s">
        <v>179</v>
      </c>
      <c r="E17" s="65"/>
      <c r="F17" s="26">
        <f>MAX(F3:F14)</f>
        <v>1670.3999999999999</v>
      </c>
    </row>
    <row r="18" spans="4:6" x14ac:dyDescent="0.25">
      <c r="D18" s="65" t="s">
        <v>180</v>
      </c>
      <c r="E18" s="65"/>
      <c r="F18" s="26">
        <f>MIN(F3:F14)</f>
        <v>160.5</v>
      </c>
    </row>
  </sheetData>
  <mergeCells count="5">
    <mergeCell ref="A1:F1"/>
    <mergeCell ref="D15:E15"/>
    <mergeCell ref="D16:E16"/>
    <mergeCell ref="D17:E17"/>
    <mergeCell ref="D18:E18"/>
  </mergeCells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C8ABE0-667E-4B56-93A6-005263631C0C}">
  <dimension ref="A1:F8"/>
  <sheetViews>
    <sheetView workbookViewId="0">
      <selection activeCell="G2" sqref="G2"/>
    </sheetView>
  </sheetViews>
  <sheetFormatPr defaultColWidth="18.28515625" defaultRowHeight="15" x14ac:dyDescent="0.25"/>
  <cols>
    <col min="5" max="5" width="27.42578125" customWidth="1"/>
  </cols>
  <sheetData>
    <row r="1" spans="1:6" x14ac:dyDescent="0.25">
      <c r="A1" s="72" t="s">
        <v>198</v>
      </c>
      <c r="B1" s="72"/>
      <c r="C1" s="72"/>
      <c r="D1" s="72"/>
      <c r="E1" s="72"/>
      <c r="F1" s="72"/>
    </row>
    <row r="2" spans="1:6" ht="60" x14ac:dyDescent="0.25">
      <c r="A2" s="38" t="s">
        <v>193</v>
      </c>
      <c r="B2" s="38" t="s">
        <v>194</v>
      </c>
      <c r="C2" s="38" t="s">
        <v>195</v>
      </c>
      <c r="D2" s="38" t="s">
        <v>196</v>
      </c>
      <c r="E2" s="38" t="s">
        <v>197</v>
      </c>
      <c r="F2" s="38" t="s">
        <v>199</v>
      </c>
    </row>
    <row r="3" spans="1:6" x14ac:dyDescent="0.25">
      <c r="A3" s="40" t="s">
        <v>24</v>
      </c>
      <c r="B3" s="40">
        <v>66</v>
      </c>
      <c r="C3" s="51">
        <v>0.4</v>
      </c>
      <c r="D3" s="43">
        <f>B3*C$3</f>
        <v>26.400000000000002</v>
      </c>
      <c r="E3" s="52">
        <v>0.17</v>
      </c>
      <c r="F3" s="43">
        <f>D3+(E$3*D3)</f>
        <v>30.888000000000002</v>
      </c>
    </row>
    <row r="4" spans="1:6" x14ac:dyDescent="0.25">
      <c r="A4" s="40" t="s">
        <v>26</v>
      </c>
      <c r="B4" s="40">
        <v>120</v>
      </c>
      <c r="C4" s="7"/>
      <c r="D4" s="43">
        <f t="shared" ref="D4:D8" si="0">B4*C$3</f>
        <v>48</v>
      </c>
      <c r="E4" s="7"/>
      <c r="F4" s="43">
        <f>D4+(E$3*D4)</f>
        <v>56.16</v>
      </c>
    </row>
    <row r="5" spans="1:6" x14ac:dyDescent="0.25">
      <c r="A5" s="40" t="s">
        <v>28</v>
      </c>
      <c r="B5" s="40">
        <v>75</v>
      </c>
      <c r="C5" s="7"/>
      <c r="D5" s="43">
        <f t="shared" si="0"/>
        <v>30</v>
      </c>
      <c r="E5" s="7"/>
      <c r="F5" s="43">
        <f t="shared" ref="F5:F8" si="1">D5+(E$3*D5)</f>
        <v>35.1</v>
      </c>
    </row>
    <row r="6" spans="1:6" x14ac:dyDescent="0.25">
      <c r="A6" s="40" t="s">
        <v>30</v>
      </c>
      <c r="B6" s="40">
        <v>80</v>
      </c>
      <c r="C6" s="7"/>
      <c r="D6" s="43">
        <f t="shared" si="0"/>
        <v>32</v>
      </c>
      <c r="E6" s="7"/>
      <c r="F6" s="43">
        <f t="shared" si="1"/>
        <v>37.44</v>
      </c>
    </row>
    <row r="7" spans="1:6" x14ac:dyDescent="0.25">
      <c r="A7" s="40" t="s">
        <v>32</v>
      </c>
      <c r="B7" s="40">
        <v>60</v>
      </c>
      <c r="C7" s="7"/>
      <c r="D7" s="43">
        <f t="shared" si="0"/>
        <v>24</v>
      </c>
      <c r="E7" s="7"/>
      <c r="F7" s="43">
        <f t="shared" si="1"/>
        <v>28.08</v>
      </c>
    </row>
    <row r="8" spans="1:6" x14ac:dyDescent="0.25">
      <c r="A8" s="40" t="s">
        <v>34</v>
      </c>
      <c r="B8" s="40">
        <v>55</v>
      </c>
      <c r="C8" s="7"/>
      <c r="D8" s="43">
        <f t="shared" si="0"/>
        <v>22</v>
      </c>
      <c r="E8" s="7"/>
      <c r="F8" s="43">
        <f t="shared" si="1"/>
        <v>25.740000000000002</v>
      </c>
    </row>
  </sheetData>
  <mergeCells count="1">
    <mergeCell ref="A1:F1"/>
  </mergeCells>
  <pageMargins left="0.511811024" right="0.511811024" top="0.78740157499999996" bottom="0.78740157499999996" header="0.31496062000000002" footer="0.31496062000000002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3D01D7-7F77-4352-94FA-C4188689A143}">
  <dimension ref="A1:D18"/>
  <sheetViews>
    <sheetView workbookViewId="0">
      <selection activeCell="F26" sqref="F26"/>
    </sheetView>
  </sheetViews>
  <sheetFormatPr defaultColWidth="18.28515625" defaultRowHeight="15" x14ac:dyDescent="0.25"/>
  <sheetData>
    <row r="1" spans="1:4" x14ac:dyDescent="0.25">
      <c r="A1" s="72" t="s">
        <v>206</v>
      </c>
      <c r="B1" s="72"/>
      <c r="C1" s="72"/>
      <c r="D1" s="72"/>
    </row>
    <row r="2" spans="1:4" x14ac:dyDescent="0.25">
      <c r="A2" s="50" t="s">
        <v>208</v>
      </c>
      <c r="B2" s="73" t="s">
        <v>210</v>
      </c>
      <c r="C2" s="74"/>
      <c r="D2" s="75"/>
    </row>
    <row r="3" spans="1:4" x14ac:dyDescent="0.25">
      <c r="A3" s="50" t="s">
        <v>43</v>
      </c>
      <c r="B3" s="76">
        <v>5144230</v>
      </c>
      <c r="C3" s="77"/>
      <c r="D3" s="78"/>
    </row>
    <row r="4" spans="1:4" x14ac:dyDescent="0.25">
      <c r="A4" s="50" t="s">
        <v>207</v>
      </c>
      <c r="B4" s="73" t="s">
        <v>211</v>
      </c>
      <c r="C4" s="74"/>
      <c r="D4" s="75"/>
    </row>
    <row r="5" spans="1:4" x14ac:dyDescent="0.25">
      <c r="A5" s="50" t="s">
        <v>154</v>
      </c>
      <c r="B5" s="79">
        <v>33337878</v>
      </c>
      <c r="C5" s="80"/>
      <c r="D5" s="81"/>
    </row>
    <row r="7" spans="1:4" x14ac:dyDescent="0.25">
      <c r="A7" s="72" t="s">
        <v>205</v>
      </c>
      <c r="B7" s="72"/>
      <c r="C7" s="72"/>
      <c r="D7" s="72"/>
    </row>
    <row r="8" spans="1:4" x14ac:dyDescent="0.25">
      <c r="A8" s="38" t="s">
        <v>203</v>
      </c>
      <c r="B8" s="38" t="s">
        <v>123</v>
      </c>
      <c r="C8" s="38" t="s">
        <v>124</v>
      </c>
      <c r="D8" s="38" t="s">
        <v>204</v>
      </c>
    </row>
    <row r="9" spans="1:4" x14ac:dyDescent="0.25">
      <c r="A9" s="19" t="s">
        <v>212</v>
      </c>
      <c r="B9" s="42">
        <v>120</v>
      </c>
      <c r="C9" s="41">
        <v>55</v>
      </c>
      <c r="D9" s="43">
        <f>B9*C9</f>
        <v>6600</v>
      </c>
    </row>
    <row r="10" spans="1:4" x14ac:dyDescent="0.25">
      <c r="A10" s="19" t="s">
        <v>213</v>
      </c>
      <c r="B10" s="42">
        <v>35</v>
      </c>
      <c r="C10" s="41">
        <v>30</v>
      </c>
      <c r="D10" s="43">
        <f t="shared" ref="D10:D13" si="0">B10*C10</f>
        <v>1050</v>
      </c>
    </row>
    <row r="11" spans="1:4" x14ac:dyDescent="0.25">
      <c r="A11" s="19" t="s">
        <v>214</v>
      </c>
      <c r="B11" s="42">
        <v>45</v>
      </c>
      <c r="C11" s="41">
        <v>68</v>
      </c>
      <c r="D11" s="43">
        <f t="shared" si="0"/>
        <v>3060</v>
      </c>
    </row>
    <row r="12" spans="1:4" x14ac:dyDescent="0.25">
      <c r="A12" s="19" t="s">
        <v>215</v>
      </c>
      <c r="B12" s="42">
        <v>8</v>
      </c>
      <c r="C12" s="41">
        <v>2450</v>
      </c>
      <c r="D12" s="43">
        <f t="shared" si="0"/>
        <v>19600</v>
      </c>
    </row>
    <row r="13" spans="1:4" x14ac:dyDescent="0.25">
      <c r="A13" s="19" t="s">
        <v>216</v>
      </c>
      <c r="B13" s="42">
        <v>39</v>
      </c>
      <c r="C13" s="41">
        <v>320</v>
      </c>
      <c r="D13" s="43">
        <f t="shared" si="0"/>
        <v>12480</v>
      </c>
    </row>
    <row r="15" spans="1:4" x14ac:dyDescent="0.25">
      <c r="B15" s="66" t="s">
        <v>209</v>
      </c>
      <c r="C15" s="67"/>
      <c r="D15" s="26">
        <f>SUM(D9:D13)</f>
        <v>42790</v>
      </c>
    </row>
    <row r="16" spans="1:4" x14ac:dyDescent="0.25">
      <c r="B16" s="39" t="s">
        <v>201</v>
      </c>
      <c r="C16" s="53">
        <v>0.18</v>
      </c>
      <c r="D16" s="26">
        <f>$D$15*C16</f>
        <v>7702.2</v>
      </c>
    </row>
    <row r="17" spans="2:4" x14ac:dyDescent="0.25">
      <c r="B17" s="39" t="s">
        <v>202</v>
      </c>
      <c r="C17" s="52">
        <v>0.05</v>
      </c>
      <c r="D17" s="26">
        <f>$D$15*C17</f>
        <v>2139.5</v>
      </c>
    </row>
    <row r="18" spans="2:4" x14ac:dyDescent="0.25">
      <c r="B18" s="66" t="s">
        <v>200</v>
      </c>
      <c r="C18" s="67"/>
      <c r="D18" s="26">
        <f>SUM(D15:D17)</f>
        <v>52631.7</v>
      </c>
    </row>
  </sheetData>
  <mergeCells count="8">
    <mergeCell ref="A1:D1"/>
    <mergeCell ref="A7:D7"/>
    <mergeCell ref="B15:C15"/>
    <mergeCell ref="B18:C18"/>
    <mergeCell ref="B2:D2"/>
    <mergeCell ref="B3:D3"/>
    <mergeCell ref="B4:D4"/>
    <mergeCell ref="B5:D5"/>
  </mergeCells>
  <pageMargins left="0.511811024" right="0.511811024" top="0.78740157499999996" bottom="0.78740157499999996" header="0.31496062000000002" footer="0.31496062000000002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19</vt:i4>
      </vt:variant>
    </vt:vector>
  </HeadingPairs>
  <TitlesOfParts>
    <vt:vector size="19" baseType="lpstr">
      <vt:lpstr>01-formatacao</vt:lpstr>
      <vt:lpstr>02-Listas</vt:lpstr>
      <vt:lpstr>03-Formatos Personalizados</vt:lpstr>
      <vt:lpstr>04-Classificacao e filtro</vt:lpstr>
      <vt:lpstr>05-Formulas e Funcoes</vt:lpstr>
      <vt:lpstr>06-Porcentagem</vt:lpstr>
      <vt:lpstr>07-Acrescimo 1</vt:lpstr>
      <vt:lpstr>08-Acrescimo 2</vt:lpstr>
      <vt:lpstr>09-Desconto 1</vt:lpstr>
      <vt:lpstr>10-Desconto 2</vt:lpstr>
      <vt:lpstr>11-Copia relativa</vt:lpstr>
      <vt:lpstr>12-Copia Mista</vt:lpstr>
      <vt:lpstr>13-Copia Absoluta</vt:lpstr>
      <vt:lpstr>14-Calculos Basicos 1</vt:lpstr>
      <vt:lpstr>15-Calculos Basicos 2</vt:lpstr>
      <vt:lpstr>16-Calculos Basicos 3</vt:lpstr>
      <vt:lpstr>17-Calculos Basicos 4</vt:lpstr>
      <vt:lpstr>18-Calculos Basicos 5</vt:lpstr>
      <vt:lpstr>19-Calculos Basicos 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WILCK GOMES DE OLIVEIRA</dc:creator>
  <cp:lastModifiedBy>WILCK GOMES DE OLIVEIRA</cp:lastModifiedBy>
  <dcterms:created xsi:type="dcterms:W3CDTF">2026-02-11T21:53:46Z</dcterms:created>
  <dcterms:modified xsi:type="dcterms:W3CDTF">2026-02-25T00:50:54Z</dcterms:modified>
</cp:coreProperties>
</file>