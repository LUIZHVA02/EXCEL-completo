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F90B27DE-2924-4E0D-A3DD-06E6C382F847}" xr6:coauthVersionLast="36" xr6:coauthVersionMax="36" xr10:uidLastSave="{00000000-0000-0000-0000-000000000000}"/>
  <bookViews>
    <workbookView xWindow="0" yWindow="0" windowWidth="15360" windowHeight="7425" firstSheet="21" activeTab="25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I10" i="25"/>
  <c r="H7" i="25"/>
  <c r="H4" i="25"/>
  <c r="H5" i="25"/>
  <c r="H6" i="25"/>
  <c r="H3" i="25"/>
  <c r="I4" i="25"/>
  <c r="I5" i="25"/>
  <c r="I6" i="25"/>
  <c r="I7" i="25"/>
  <c r="I3" i="25"/>
  <c r="G4" i="25"/>
  <c r="G5" i="25"/>
  <c r="G6" i="25"/>
  <c r="G7" i="25"/>
  <c r="G3" i="25"/>
  <c r="I9" i="24" l="1"/>
  <c r="H3" i="24"/>
  <c r="I7" i="24"/>
  <c r="H4" i="24"/>
  <c r="H5" i="24"/>
  <c r="H6" i="24"/>
  <c r="H7" i="24"/>
  <c r="H8" i="24"/>
  <c r="K3" i="23"/>
  <c r="E20" i="24"/>
  <c r="E6" i="24"/>
  <c r="I3" i="24" s="1"/>
  <c r="E11" i="24"/>
  <c r="E12" i="24"/>
  <c r="E14" i="24"/>
  <c r="I5" i="24" s="1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G3" i="21"/>
  <c r="F4" i="21"/>
  <c r="F5" i="21"/>
  <c r="F6" i="21"/>
  <c r="F7" i="21"/>
  <c r="F8" i="21"/>
  <c r="F9" i="21"/>
  <c r="F10" i="21"/>
  <c r="F3" i="21"/>
  <c r="D18" i="20" l="1"/>
  <c r="D17" i="20"/>
  <c r="D16" i="20"/>
  <c r="D15" i="20"/>
  <c r="D10" i="20"/>
  <c r="D11" i="20"/>
  <c r="D12" i="20"/>
  <c r="D13" i="20"/>
  <c r="D9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<sst xmlns="http://schemas.openxmlformats.org/spreadsheetml/2006/main" count="502" uniqueCount="325">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</sst>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1">
    <dxf>
      <font>
        <b/>
        <i val="0"/>
        <color rgb="FFFF0000"/>
      </font>
      <fill>
        <patternFill>
          <bgColor rgb="FFFF9999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67" t="s">
        <v>0</v>
      </c>
      <c r="B1" s="67"/>
      <c r="C1" s="67"/>
      <c r="D1" s="67"/>
    </row>
    <row r="2" spans="1:4" x14ac:dyDescent="0.25">
      <c r="A2" s="68" t="s">
        <v>1</v>
      </c>
      <c r="B2" s="69" t="s">
        <v>2</v>
      </c>
      <c r="C2" s="2">
        <v>23</v>
      </c>
      <c r="D2" s="1">
        <f>C2</f>
        <v>23</v>
      </c>
    </row>
    <row r="3" spans="1:4" x14ac:dyDescent="0.25">
      <c r="A3" s="68"/>
      <c r="B3" s="69"/>
      <c r="C3" s="3">
        <v>0.1</v>
      </c>
      <c r="D3" s="10">
        <f t="shared" ref="D3:D6" si="0">C3</f>
        <v>0.1</v>
      </c>
    </row>
    <row r="4" spans="1:4" x14ac:dyDescent="0.25">
      <c r="A4" s="68"/>
      <c r="B4" s="69"/>
      <c r="C4">
        <v>2.58</v>
      </c>
      <c r="D4" s="9">
        <f t="shared" si="0"/>
        <v>2.58</v>
      </c>
    </row>
    <row r="5" spans="1:4" x14ac:dyDescent="0.25">
      <c r="A5" s="68"/>
      <c r="B5" s="69"/>
      <c r="C5" s="4">
        <v>1000</v>
      </c>
      <c r="D5" s="11">
        <f t="shared" si="0"/>
        <v>1000</v>
      </c>
    </row>
    <row r="6" spans="1:4" x14ac:dyDescent="0.25">
      <c r="A6" s="68"/>
      <c r="B6" s="69"/>
      <c r="C6" s="5">
        <v>42567</v>
      </c>
      <c r="D6" s="8">
        <f t="shared" si="0"/>
        <v>42567</v>
      </c>
    </row>
    <row r="7" spans="1:4" ht="30" x14ac:dyDescent="0.25">
      <c r="A7" s="68"/>
      <c r="B7" s="69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70" t="s">
        <v>41</v>
      </c>
      <c r="B1" s="70"/>
      <c r="C1" s="70"/>
      <c r="D1" s="70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71" t="s">
        <v>46</v>
      </c>
      <c r="B1" s="71"/>
      <c r="C1" s="71"/>
      <c r="D1" s="71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72" t="s">
        <v>78</v>
      </c>
      <c r="B1" s="72"/>
      <c r="C1" s="72"/>
      <c r="D1" s="72"/>
      <c r="E1" s="72"/>
      <c r="F1" s="72"/>
      <c r="G1" s="72"/>
      <c r="H1" s="72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73" t="s">
        <v>95</v>
      </c>
      <c r="B1" s="73"/>
      <c r="C1" s="73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73" t="s">
        <v>99</v>
      </c>
      <c r="B1" s="73"/>
      <c r="C1" s="73"/>
      <c r="D1" s="73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74" t="s">
        <v>99</v>
      </c>
      <c r="B1" s="75"/>
      <c r="C1" s="76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73" t="s">
        <v>104</v>
      </c>
      <c r="B1" s="73"/>
      <c r="C1" s="73"/>
      <c r="D1" s="73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74" t="s">
        <v>104</v>
      </c>
      <c r="B1" s="75"/>
      <c r="C1" s="76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73" t="s">
        <v>112</v>
      </c>
      <c r="B1" s="73"/>
      <c r="C1" s="73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73" t="s">
        <v>112</v>
      </c>
      <c r="B1" s="73"/>
      <c r="C1" s="73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F3" sqref="F3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77" t="s">
        <v>113</v>
      </c>
      <c r="B1" s="77"/>
      <c r="C1" s="77"/>
      <c r="D1" s="77"/>
      <c r="E1" s="77"/>
      <c r="F1" s="77"/>
      <c r="G1" s="77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77" t="s">
        <v>120</v>
      </c>
      <c r="B1" s="78"/>
      <c r="C1" s="78"/>
      <c r="D1" s="78"/>
      <c r="E1" s="78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79" t="s">
        <v>146</v>
      </c>
      <c r="D13" s="80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C9" sqref="C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79" t="s">
        <v>148</v>
      </c>
      <c r="B1" s="81"/>
      <c r="C1" s="80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82" t="s">
        <v>159</v>
      </c>
      <c r="B1" s="83"/>
      <c r="C1" s="83"/>
      <c r="D1" s="84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F15" sqref="F15:F18"/>
    </sheetView>
  </sheetViews>
  <sheetFormatPr defaultColWidth="18.28515625" defaultRowHeight="15" x14ac:dyDescent="0.25"/>
  <sheetData>
    <row r="1" spans="1:6" x14ac:dyDescent="0.25">
      <c r="A1" s="82" t="s">
        <v>171</v>
      </c>
      <c r="B1" s="83"/>
      <c r="C1" s="83"/>
      <c r="D1" s="83"/>
      <c r="E1" s="83"/>
      <c r="F1" s="84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78" t="s">
        <v>177</v>
      </c>
      <c r="E15" s="78"/>
      <c r="F15" s="26">
        <f>SUM(F3:F14)</f>
        <v>8669.24</v>
      </c>
    </row>
    <row r="16" spans="1:6" x14ac:dyDescent="0.25">
      <c r="D16" s="78" t="s">
        <v>178</v>
      </c>
      <c r="E16" s="78"/>
      <c r="F16" s="26">
        <f>AVERAGE(F3:F14)</f>
        <v>722.43666666666661</v>
      </c>
    </row>
    <row r="17" spans="4:6" x14ac:dyDescent="0.25">
      <c r="D17" s="78" t="s">
        <v>179</v>
      </c>
      <c r="E17" s="78"/>
      <c r="F17" s="26">
        <f>MAX(F3:F14)</f>
        <v>1670.3999999999999</v>
      </c>
    </row>
    <row r="18" spans="4:6" x14ac:dyDescent="0.25">
      <c r="D18" s="78" t="s">
        <v>180</v>
      </c>
      <c r="E18" s="78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2" sqref="G2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85" t="s">
        <v>198</v>
      </c>
      <c r="B1" s="85"/>
      <c r="C1" s="85"/>
      <c r="D1" s="85"/>
      <c r="E1" s="85"/>
      <c r="F1" s="85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F26" sqref="F26"/>
    </sheetView>
  </sheetViews>
  <sheetFormatPr defaultColWidth="18.28515625" defaultRowHeight="15" x14ac:dyDescent="0.25"/>
  <sheetData>
    <row r="1" spans="1:4" x14ac:dyDescent="0.25">
      <c r="A1" s="85" t="s">
        <v>206</v>
      </c>
      <c r="B1" s="85"/>
      <c r="C1" s="85"/>
      <c r="D1" s="85"/>
    </row>
    <row r="2" spans="1:4" x14ac:dyDescent="0.25">
      <c r="A2" s="51" t="s">
        <v>208</v>
      </c>
      <c r="B2" s="86" t="s">
        <v>210</v>
      </c>
      <c r="C2" s="87"/>
      <c r="D2" s="88"/>
    </row>
    <row r="3" spans="1:4" x14ac:dyDescent="0.25">
      <c r="A3" s="51" t="s">
        <v>43</v>
      </c>
      <c r="B3" s="89">
        <v>5144230</v>
      </c>
      <c r="C3" s="90"/>
      <c r="D3" s="91"/>
    </row>
    <row r="4" spans="1:4" x14ac:dyDescent="0.25">
      <c r="A4" s="51" t="s">
        <v>207</v>
      </c>
      <c r="B4" s="86" t="s">
        <v>211</v>
      </c>
      <c r="C4" s="87"/>
      <c r="D4" s="88"/>
    </row>
    <row r="5" spans="1:4" x14ac:dyDescent="0.25">
      <c r="A5" s="51" t="s">
        <v>154</v>
      </c>
      <c r="B5" s="92">
        <v>33337878</v>
      </c>
      <c r="C5" s="93"/>
      <c r="D5" s="94"/>
    </row>
    <row r="7" spans="1:4" x14ac:dyDescent="0.25">
      <c r="A7" s="85" t="s">
        <v>205</v>
      </c>
      <c r="B7" s="85"/>
      <c r="C7" s="85"/>
      <c r="D7" s="85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79" t="s">
        <v>209</v>
      </c>
      <c r="C15" s="80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79" t="s">
        <v>200</v>
      </c>
      <c r="C18" s="80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0"/>
  <sheetViews>
    <sheetView workbookViewId="0">
      <selection activeCell="F4" sqref="F4"/>
    </sheetView>
  </sheetViews>
  <sheetFormatPr defaultColWidth="18.28515625" defaultRowHeight="15" x14ac:dyDescent="0.25"/>
  <sheetData>
    <row r="1" spans="1:7" ht="15.75" x14ac:dyDescent="0.25">
      <c r="A1" s="95" t="s">
        <v>217</v>
      </c>
      <c r="B1" s="96"/>
      <c r="C1" s="96"/>
      <c r="D1" s="96"/>
      <c r="E1" s="96"/>
      <c r="F1" s="96"/>
      <c r="G1" s="96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0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E5" sqref="E5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77" t="s">
        <v>234</v>
      </c>
      <c r="B1" s="78"/>
      <c r="D1" s="82" t="s">
        <v>237</v>
      </c>
      <c r="E1" s="84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K6" sqref="K6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77" t="s">
        <v>242</v>
      </c>
      <c r="B1" s="77"/>
      <c r="C1" s="77"/>
      <c r="D1" s="77"/>
      <c r="E1" s="77"/>
      <c r="G1" s="77" t="s">
        <v>237</v>
      </c>
      <c r="H1" s="78"/>
      <c r="I1" s="78"/>
      <c r="J1" s="78"/>
      <c r="K1" s="78"/>
      <c r="L1" s="78"/>
      <c r="M1" s="78"/>
      <c r="N1" s="78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97" t="s">
        <v>246</v>
      </c>
      <c r="H2" s="97"/>
      <c r="I2" s="7"/>
      <c r="J2" s="78" t="s">
        <v>247</v>
      </c>
      <c r="K2" s="78"/>
      <c r="L2" s="7"/>
      <c r="M2" s="78" t="s">
        <v>248</v>
      </c>
      <c r="N2" s="78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I9" sqref="I9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98" t="s">
        <v>257</v>
      </c>
      <c r="B1" s="99"/>
      <c r="C1" s="99"/>
      <c r="D1" s="99"/>
      <c r="E1" s="100"/>
      <c r="G1" s="85" t="s">
        <v>263</v>
      </c>
      <c r="H1" s="85"/>
      <c r="I1" s="85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 t="shared" si="1"/>
        <v>8801</v>
      </c>
      <c r="I7" s="41">
        <f t="shared" si="1"/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 t="shared" si="0"/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G3" sqref="G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77" t="s">
        <v>273</v>
      </c>
      <c r="B1" s="77"/>
      <c r="C1" s="77"/>
      <c r="D1" s="77"/>
      <c r="F1" s="77" t="s">
        <v>274</v>
      </c>
      <c r="G1" s="77"/>
      <c r="H1" s="77"/>
      <c r="I1" s="77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7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 t="shared" si="0"/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78" t="s">
        <v>293</v>
      </c>
      <c r="G9" s="78"/>
      <c r="H9" s="78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78" t="s">
        <v>294</v>
      </c>
      <c r="G10" s="78"/>
      <c r="H10" s="78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7" sqref="E17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77" t="s">
        <v>303</v>
      </c>
      <c r="B1" s="77"/>
      <c r="C1" s="77"/>
      <c r="D1" s="77"/>
      <c r="E1" s="77"/>
    </row>
    <row r="2" spans="1:5" x14ac:dyDescent="0.25">
      <c r="A2" s="60" t="s">
        <v>278</v>
      </c>
      <c r="B2" s="60" t="s">
        <v>100</v>
      </c>
      <c r="C2" s="7"/>
      <c r="D2" s="79" t="s">
        <v>296</v>
      </c>
      <c r="E2" s="80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79" t="s">
        <v>302</v>
      </c>
      <c r="E10" s="80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tabSelected="1" workbookViewId="0">
      <selection activeCell="D3" sqref="D3:D10"/>
    </sheetView>
  </sheetViews>
  <sheetFormatPr defaultColWidth="18.28515625" defaultRowHeight="15" x14ac:dyDescent="0.25"/>
  <sheetData>
    <row r="1" spans="1:4" x14ac:dyDescent="0.25">
      <c r="A1" s="85" t="s">
        <v>305</v>
      </c>
      <c r="B1" s="101"/>
      <c r="C1" s="101"/>
      <c r="D1" s="101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10" priority="2" operator="equal">
      <formula>0.038</formula>
    </cfRule>
    <cfRule type="cellIs" dxfId="9" priority="1" operator="equal">
      <formula>0.025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7" t="s">
        <v>316</v>
      </c>
      <c r="B1" s="77"/>
      <c r="C1" s="77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102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102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102">
        <v>4</v>
      </c>
      <c r="C5" s="40" t="str">
        <f t="shared" si="0"/>
        <v>Em Recuperação</v>
      </c>
    </row>
    <row r="6" spans="1:3" x14ac:dyDescent="0.25">
      <c r="A6" s="45" t="s">
        <v>322</v>
      </c>
      <c r="B6" s="102">
        <v>7.5</v>
      </c>
      <c r="C6" s="40" t="str">
        <f t="shared" si="0"/>
        <v>Aprovado</v>
      </c>
    </row>
    <row r="7" spans="1:3" x14ac:dyDescent="0.25">
      <c r="A7" s="45" t="s">
        <v>315</v>
      </c>
      <c r="B7" s="102">
        <v>10</v>
      </c>
      <c r="C7" s="40" t="str">
        <f t="shared" si="0"/>
        <v>Aprovado</v>
      </c>
    </row>
    <row r="8" spans="1:3" x14ac:dyDescent="0.25">
      <c r="A8" s="45" t="s">
        <v>323</v>
      </c>
      <c r="B8" s="102">
        <v>2</v>
      </c>
      <c r="C8" s="40" t="str">
        <f t="shared" si="0"/>
        <v>Reprovado</v>
      </c>
    </row>
    <row r="9" spans="1:3" x14ac:dyDescent="0.25">
      <c r="A9" s="45" t="s">
        <v>324</v>
      </c>
      <c r="B9" s="102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5" priority="3" operator="equal">
      <formula>"Aprovado"</formula>
    </cfRule>
    <cfRule type="cellIs" dxfId="4" priority="2" operator="equal">
      <formula>"Em Recuperação"</formula>
    </cfRule>
    <cfRule type="cellIs" dxfId="3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2026-02-25T22:09:32Z</dcterms:modified>
</cp:coreProperties>
</file>