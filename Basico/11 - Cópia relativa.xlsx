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ilck.alunos\Desktop\Luiz Henrique Vidal Araujo - Excel completo\"/>
    </mc:Choice>
  </mc:AlternateContent>
  <xr:revisionPtr revIDLastSave="0" documentId="8_{C44C399D-261D-46AF-ABFC-349C9B7E8492}" xr6:coauthVersionLast="36" xr6:coauthVersionMax="36" xr10:uidLastSave="{00000000-0000-0000-0000-000000000000}"/>
  <bookViews>
    <workbookView xWindow="0" yWindow="0" windowWidth="28800" windowHeight="12105" firstSheet="4" activeTab="10" xr2:uid="{A5E3398E-808E-49BA-92C6-AB43937C9D3D}"/>
  </bookViews>
  <sheets>
    <sheet name="01-formatacao" sheetId="1" r:id="rId1"/>
    <sheet name="02-Listas" sheetId="2" r:id="rId2"/>
    <sheet name="03-Formatos Personalizados" sheetId="3" r:id="rId3"/>
    <sheet name="04-Classificacao e filtro" sheetId="4" r:id="rId4"/>
    <sheet name="05-Formulas e Funcoes" sheetId="6" r:id="rId5"/>
    <sheet name="06-Porcentagem" sheetId="7" r:id="rId6"/>
    <sheet name="07-Acrescimo 1" sheetId="8" r:id="rId7"/>
    <sheet name="08-Acrescimo 2" sheetId="9" r:id="rId8"/>
    <sheet name="09-Desconto 1" sheetId="10" r:id="rId9"/>
    <sheet name="10-Desconto 2" sheetId="11" r:id="rId10"/>
    <sheet name="11-Copia relativa" sheetId="12" r:id="rId1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4" i="12" l="1"/>
  <c r="C5" i="12"/>
  <c r="C6" i="12"/>
  <c r="C7" i="12"/>
  <c r="C8" i="12"/>
  <c r="C9" i="12"/>
  <c r="C10" i="12"/>
  <c r="C11" i="12"/>
  <c r="C12" i="12"/>
  <c r="C13" i="12"/>
  <c r="C3" i="12"/>
  <c r="C10" i="11" l="1"/>
  <c r="C9" i="11"/>
  <c r="C8" i="11"/>
  <c r="C7" i="11"/>
  <c r="C6" i="11"/>
  <c r="C5" i="11"/>
  <c r="C4" i="11"/>
  <c r="C3" i="11"/>
  <c r="D4" i="10"/>
  <c r="D5" i="10"/>
  <c r="D6" i="10"/>
  <c r="D7" i="10"/>
  <c r="D8" i="10"/>
  <c r="D9" i="10"/>
  <c r="D10" i="10"/>
  <c r="D3" i="10"/>
  <c r="C3" i="9"/>
  <c r="C4" i="10"/>
  <c r="C5" i="10"/>
  <c r="C6" i="10"/>
  <c r="C7" i="10"/>
  <c r="C8" i="10"/>
  <c r="C9" i="10"/>
  <c r="C10" i="10"/>
  <c r="C3" i="10"/>
  <c r="C4" i="9"/>
  <c r="C5" i="9"/>
  <c r="C6" i="9"/>
  <c r="C7" i="9"/>
  <c r="C8" i="9"/>
  <c r="C9" i="9"/>
  <c r="C10" i="9"/>
  <c r="C4" i="7" l="1"/>
  <c r="C5" i="7"/>
  <c r="C6" i="7"/>
  <c r="C7" i="7"/>
  <c r="C8" i="7"/>
  <c r="C9" i="7"/>
  <c r="C10" i="7"/>
  <c r="C11" i="7"/>
  <c r="C3" i="7"/>
  <c r="C4" i="8"/>
  <c r="D4" i="8" s="1"/>
  <c r="C5" i="8"/>
  <c r="D5" i="8"/>
  <c r="C6" i="8"/>
  <c r="D6" i="8"/>
  <c r="C7" i="8"/>
  <c r="D7" i="8"/>
  <c r="C8" i="8"/>
  <c r="D8" i="8"/>
  <c r="C9" i="8"/>
  <c r="D9" i="8"/>
  <c r="C10" i="8"/>
  <c r="D10" i="8" s="1"/>
  <c r="D3" i="8"/>
  <c r="C3" i="8"/>
  <c r="E4" i="6" l="1"/>
  <c r="E5" i="6"/>
  <c r="E6" i="6"/>
  <c r="E7" i="6"/>
  <c r="E3" i="6"/>
  <c r="F4" i="6"/>
  <c r="G4" i="6"/>
  <c r="H4" i="6"/>
  <c r="F5" i="6"/>
  <c r="G5" i="6"/>
  <c r="H5" i="6"/>
  <c r="F6" i="6"/>
  <c r="G6" i="6"/>
  <c r="H6" i="6"/>
  <c r="F7" i="6"/>
  <c r="G7" i="6"/>
  <c r="H7" i="6"/>
  <c r="H3" i="6"/>
  <c r="G3" i="6"/>
  <c r="F3" i="6"/>
  <c r="C10" i="6"/>
  <c r="D10" i="6"/>
  <c r="C11" i="6"/>
  <c r="D11" i="6"/>
  <c r="B11" i="6"/>
  <c r="B10" i="6"/>
  <c r="C9" i="6"/>
  <c r="D9" i="6"/>
  <c r="B9" i="6"/>
  <c r="C8" i="6"/>
  <c r="D8" i="6"/>
  <c r="B8" i="6"/>
  <c r="D3" i="1" l="1"/>
  <c r="D4" i="1"/>
  <c r="D5" i="1"/>
  <c r="D6" i="1"/>
  <c r="D2" i="1"/>
</calcChain>
</file>

<file path=xl/sharedStrings.xml><?xml version="1.0" encoding="utf-8"?>
<sst xmlns="http://schemas.openxmlformats.org/spreadsheetml/2006/main" count="147" uniqueCount="113">
  <si>
    <t>CADASTRO DE ALUNOS</t>
  </si>
  <si>
    <t>EXCEL</t>
  </si>
  <si>
    <t>SENAI</t>
  </si>
  <si>
    <t>SÁBADO</t>
  </si>
  <si>
    <t>COR</t>
  </si>
  <si>
    <t>CARRO</t>
  </si>
  <si>
    <t>FRUTA</t>
  </si>
  <si>
    <t>Azul</t>
  </si>
  <si>
    <t>Branco</t>
  </si>
  <si>
    <t>Preto</t>
  </si>
  <si>
    <t>Verde</t>
  </si>
  <si>
    <t>Amarelo</t>
  </si>
  <si>
    <t>Prisma</t>
  </si>
  <si>
    <t>Centra</t>
  </si>
  <si>
    <t>Pálio</t>
  </si>
  <si>
    <t>Golf</t>
  </si>
  <si>
    <t>Celta</t>
  </si>
  <si>
    <t>Maçã</t>
  </si>
  <si>
    <t>Abacate</t>
  </si>
  <si>
    <t>Banana</t>
  </si>
  <si>
    <t>Laranja</t>
  </si>
  <si>
    <t>Uva</t>
  </si>
  <si>
    <t>MÊS</t>
  </si>
  <si>
    <t>SEMANA</t>
  </si>
  <si>
    <t>Janeiro</t>
  </si>
  <si>
    <t>Domingo</t>
  </si>
  <si>
    <t>Fevereiro</t>
  </si>
  <si>
    <t>Segunda-feira</t>
  </si>
  <si>
    <t>Março</t>
  </si>
  <si>
    <t>Terça-feira</t>
  </si>
  <si>
    <t>Abril</t>
  </si>
  <si>
    <t>Quarta-feira</t>
  </si>
  <si>
    <t>Maio</t>
  </si>
  <si>
    <t>Quinta-feira</t>
  </si>
  <si>
    <t>Junho</t>
  </si>
  <si>
    <t>Sexta-feira</t>
  </si>
  <si>
    <t>Julho</t>
  </si>
  <si>
    <t>Sábado</t>
  </si>
  <si>
    <t>Agosto</t>
  </si>
  <si>
    <t>Setembro</t>
  </si>
  <si>
    <t>Outubro</t>
  </si>
  <si>
    <t>DEFINIÇÃO DE FORMATOS PERSONALIZADOS</t>
  </si>
  <si>
    <t>CÓDIGO COM 4 DÍGITOS</t>
  </si>
  <si>
    <t>CEP</t>
  </si>
  <si>
    <t>DATA ABREVIADA</t>
  </si>
  <si>
    <t>CPF</t>
  </si>
  <si>
    <t>CLASSIFICAÇÃO DE DADOS</t>
  </si>
  <si>
    <t>NOME</t>
  </si>
  <si>
    <t>CARGO</t>
  </si>
  <si>
    <t>DEPARTAMENTO</t>
  </si>
  <si>
    <t>SALÁRIO</t>
  </si>
  <si>
    <t>Administração</t>
  </si>
  <si>
    <t>Comercial</t>
  </si>
  <si>
    <t>Marketing</t>
  </si>
  <si>
    <t>Contabilidade</t>
  </si>
  <si>
    <t>Arte</t>
  </si>
  <si>
    <t>Secretária</t>
  </si>
  <si>
    <t>Auxiliar Administrativo</t>
  </si>
  <si>
    <t>Gerente de Vendas</t>
  </si>
  <si>
    <t>Promotor de Marketing</t>
  </si>
  <si>
    <t>Vendedor</t>
  </si>
  <si>
    <t>Contador</t>
  </si>
  <si>
    <t>Recepcionista</t>
  </si>
  <si>
    <t>Representante de Vendas</t>
  </si>
  <si>
    <t>Projetista</t>
  </si>
  <si>
    <t>Gerente Administrativo</t>
  </si>
  <si>
    <t>Assistente de Marketing</t>
  </si>
  <si>
    <t>Joana Ferreira</t>
  </si>
  <si>
    <t>Adriano Gomes</t>
  </si>
  <si>
    <t>Anderson Santos</t>
  </si>
  <si>
    <t>Rogério Oliveira</t>
  </si>
  <si>
    <t>Alcides Caio Barretos</t>
  </si>
  <si>
    <t>João Souza Lima</t>
  </si>
  <si>
    <t>Fabiana Venâncio</t>
  </si>
  <si>
    <t>Pedro Elder Júnior</t>
  </si>
  <si>
    <t>Andressa Fagundes</t>
  </si>
  <si>
    <t>Paulo Rosa Antunes</t>
  </si>
  <si>
    <t>Tatiana Félix</t>
  </si>
  <si>
    <t>CONTROLE DE VENDAS</t>
  </si>
  <si>
    <t>Eduarda</t>
  </si>
  <si>
    <t>Ana Luiza</t>
  </si>
  <si>
    <t>Rogério</t>
  </si>
  <si>
    <t>Henrique</t>
  </si>
  <si>
    <t>Luiz Fernando</t>
  </si>
  <si>
    <t>SOMA DO MÊS</t>
  </si>
  <si>
    <t>VALOR MÁXIMO DO MÊS</t>
  </si>
  <si>
    <t>VALOR MÍNIMO DO MÊS</t>
  </si>
  <si>
    <t>MÉDIA DE VALORES DO MÊS</t>
  </si>
  <si>
    <t>JAN</t>
  </si>
  <si>
    <t>FEV</t>
  </si>
  <si>
    <t>MAR</t>
  </si>
  <si>
    <t>SOMA DO TRIMESTRE</t>
  </si>
  <si>
    <t>VALOR MÁXIMO DO TRIMESTRE</t>
  </si>
  <si>
    <t>VALOR MÍNIMO DO TRIMESTRE</t>
  </si>
  <si>
    <t>MÉDIA DE VALORES DO TRIMESTRE</t>
  </si>
  <si>
    <t>EXEMPLO DE CÁLCULOS COM PORCENTAGEM</t>
  </si>
  <si>
    <t>VALOR PARA CÁLCULO</t>
  </si>
  <si>
    <t>PORCENTAGEM A SER CALCULADA</t>
  </si>
  <si>
    <t>RESULTADO</t>
  </si>
  <si>
    <t>CÁLCULO DE PORCENTAGEM COM ACRÉSCIMO</t>
  </si>
  <si>
    <t>VALOR DE VENDA</t>
  </si>
  <si>
    <t>% DE ACRÉSCIMO</t>
  </si>
  <si>
    <t>VALOR DE ACRÉSCIMO</t>
  </si>
  <si>
    <t>VALOR DE VENDA COM ACRÉSCIMO</t>
  </si>
  <si>
    <t>CÁLCULO DE PORCENTAGEM COM DESCONTO</t>
  </si>
  <si>
    <t>VALOR DA VENDA</t>
  </si>
  <si>
    <t>% DE DESCONTO</t>
  </si>
  <si>
    <t>VALOR DE DESCONTO</t>
  </si>
  <si>
    <t>VALOR DE VENDA COM DESCONTO</t>
  </si>
  <si>
    <t>VALOR SEM ACRÉSCIMO</t>
  </si>
  <si>
    <t>TAXA DE ACRÉSCIMO</t>
  </si>
  <si>
    <t>VALOR COM ACRÉSCIMO</t>
  </si>
  <si>
    <t>REFERÊNCIA RELATIVA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</si>
</sst>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&quot;R$&quot;\ #,##0.00"/>
    <numFmt numFmtId="165" formatCode="_-[$R$-416]\ * #,##0.00_-;\-[$R$-416]\ * #,##0.00_-;_-[$R$-416]\ * &quot;-&quot;??_-;_-@_-"/>
    <numFmt numFmtId="166" formatCode="[$-F800]dddd\,\ mmmm\ dd\,\ yyyy"/>
    <numFmt numFmtId="167" formatCode="0.0000"/>
    <numFmt numFmtId="168" formatCode="000&quot;.&quot;000&quot;.&quot;000&quot;-&quot;00"/>
    <numFmt numFmtId="169" formatCode="00000&quot;-&quot;000"/>
    <numFmt numFmtId="170" formatCode="0000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9.9978637043366805E-2"/>
        <bgColor indexed="64"/>
      </patternFill>
    </fill>
  </fills>
  <borders count="6">
    <border>
      <left/>
      <right/>
      <top/>
      <bottom/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48">
    <xf numFmtId="0" fontId="0" fillId="0" borderId="0" xfId="0"/>
    <xf numFmtId="164" fontId="0" fillId="0" borderId="0" xfId="0" applyNumberFormat="1"/>
    <xf numFmtId="165" fontId="0" fillId="0" borderId="0" xfId="2" applyNumberFormat="1" applyFont="1"/>
    <xf numFmtId="2" fontId="0" fillId="0" borderId="0" xfId="0" applyNumberFormat="1"/>
    <xf numFmtId="3" fontId="0" fillId="0" borderId="0" xfId="0" applyNumberFormat="1"/>
    <xf numFmtId="14" fontId="0" fillId="0" borderId="0" xfId="0" applyNumberFormat="1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166" fontId="0" fillId="0" borderId="0" xfId="0" applyNumberFormat="1"/>
    <xf numFmtId="167" fontId="0" fillId="0" borderId="0" xfId="0" applyNumberFormat="1"/>
    <xf numFmtId="9" fontId="0" fillId="0" borderId="0" xfId="0" applyNumberFormat="1"/>
    <xf numFmtId="4" fontId="0" fillId="0" borderId="0" xfId="2" applyNumberFormat="1" applyFont="1"/>
    <xf numFmtId="0" fontId="2" fillId="2" borderId="1" xfId="0" applyFont="1" applyFill="1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164" fontId="0" fillId="0" borderId="1" xfId="2" applyNumberFormat="1" applyFont="1" applyBorder="1" applyAlignment="1">
      <alignment horizontal="center" vertical="center"/>
    </xf>
    <xf numFmtId="168" fontId="0" fillId="0" borderId="1" xfId="0" applyNumberFormat="1" applyBorder="1" applyAlignment="1">
      <alignment horizontal="center" vertical="center"/>
    </xf>
    <xf numFmtId="169" fontId="0" fillId="0" borderId="1" xfId="0" applyNumberFormat="1" applyBorder="1" applyAlignment="1">
      <alignment horizontal="center" vertical="center"/>
    </xf>
    <xf numFmtId="0" fontId="0" fillId="0" borderId="2" xfId="0" applyBorder="1"/>
    <xf numFmtId="165" fontId="0" fillId="0" borderId="2" xfId="0" applyNumberFormat="1" applyBorder="1"/>
    <xf numFmtId="165" fontId="0" fillId="4" borderId="2" xfId="0" applyNumberFormat="1" applyFill="1" applyBorder="1" applyAlignment="1">
      <alignment horizontal="left" vertical="center"/>
    </xf>
    <xf numFmtId="0" fontId="2" fillId="3" borderId="2" xfId="0" applyFont="1" applyFill="1" applyBorder="1" applyAlignment="1">
      <alignment horizontal="left" vertical="center"/>
    </xf>
    <xf numFmtId="0" fontId="2" fillId="3" borderId="2" xfId="0" applyFont="1" applyFill="1" applyBorder="1" applyAlignment="1">
      <alignment horizontal="center" vertical="center" wrapText="1"/>
    </xf>
    <xf numFmtId="165" fontId="0" fillId="4" borderId="2" xfId="0" applyNumberFormat="1" applyFill="1" applyBorder="1"/>
    <xf numFmtId="0" fontId="0" fillId="3" borderId="2" xfId="0" applyFill="1" applyBorder="1" applyAlignment="1">
      <alignment horizontal="center" vertical="center" wrapText="1"/>
    </xf>
    <xf numFmtId="44" fontId="0" fillId="0" borderId="2" xfId="0" applyNumberFormat="1" applyBorder="1"/>
    <xf numFmtId="9" fontId="0" fillId="0" borderId="2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 textRotation="90"/>
    </xf>
    <xf numFmtId="0" fontId="0" fillId="0" borderId="0" xfId="0" applyAlignment="1">
      <alignment horizontal="center" vertical="center" textRotation="45"/>
    </xf>
    <xf numFmtId="0" fontId="2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/>
    </xf>
    <xf numFmtId="170" fontId="0" fillId="0" borderId="1" xfId="1" applyNumberFormat="1" applyFont="1" applyBorder="1" applyAlignment="1">
      <alignment horizontal="center" vertical="center"/>
    </xf>
    <xf numFmtId="170" fontId="0" fillId="0" borderId="1" xfId="0" applyNumberFormat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0" fillId="0" borderId="0" xfId="0" applyAlignment="1"/>
    <xf numFmtId="44" fontId="0" fillId="0" borderId="2" xfId="2" applyFont="1" applyBorder="1" applyAlignment="1"/>
    <xf numFmtId="44" fontId="0" fillId="0" borderId="0" xfId="2" applyFont="1"/>
    <xf numFmtId="44" fontId="0" fillId="0" borderId="2" xfId="0" applyNumberFormat="1" applyBorder="1" applyAlignment="1"/>
    <xf numFmtId="44" fontId="0" fillId="0" borderId="2" xfId="2" applyFont="1" applyBorder="1" applyAlignment="1">
      <alignment vertical="center"/>
    </xf>
    <xf numFmtId="44" fontId="0" fillId="0" borderId="2" xfId="0" applyNumberFormat="1" applyBorder="1" applyAlignment="1">
      <alignment vertical="center"/>
    </xf>
    <xf numFmtId="44" fontId="0" fillId="0" borderId="0" xfId="2" applyFont="1" applyAlignment="1">
      <alignment vertical="center"/>
    </xf>
    <xf numFmtId="44" fontId="0" fillId="0" borderId="2" xfId="2" applyFont="1" applyBorder="1"/>
  </cellXfs>
  <cellStyles count="3">
    <cellStyle name="Moeda" xfId="2" builtinId="4"/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B10DB8-8BF6-4AD4-92F9-82E65BEF301B}">
  <dimension ref="A1:D7"/>
  <sheetViews>
    <sheetView workbookViewId="0">
      <selection activeCell="F1" sqref="F1"/>
    </sheetView>
  </sheetViews>
  <sheetFormatPr defaultRowHeight="15" x14ac:dyDescent="0.25"/>
  <cols>
    <col min="3" max="3" width="16.85546875" customWidth="1"/>
    <col min="4" max="4" width="27.28515625" customWidth="1"/>
  </cols>
  <sheetData>
    <row r="1" spans="1:4" x14ac:dyDescent="0.25">
      <c r="A1" s="28" t="s">
        <v>0</v>
      </c>
      <c r="B1" s="28"/>
      <c r="C1" s="28"/>
      <c r="D1" s="28"/>
    </row>
    <row r="2" spans="1:4" x14ac:dyDescent="0.25">
      <c r="A2" s="29" t="s">
        <v>1</v>
      </c>
      <c r="B2" s="30" t="s">
        <v>2</v>
      </c>
      <c r="C2" s="2">
        <v>23</v>
      </c>
      <c r="D2" s="1">
        <f>C2</f>
        <v>23</v>
      </c>
    </row>
    <row r="3" spans="1:4" x14ac:dyDescent="0.25">
      <c r="A3" s="29"/>
      <c r="B3" s="30"/>
      <c r="C3" s="3">
        <v>0.1</v>
      </c>
      <c r="D3" s="10">
        <f t="shared" ref="D3:D6" si="0">C3</f>
        <v>0.1</v>
      </c>
    </row>
    <row r="4" spans="1:4" x14ac:dyDescent="0.25">
      <c r="A4" s="29"/>
      <c r="B4" s="30"/>
      <c r="C4">
        <v>2.58</v>
      </c>
      <c r="D4" s="9">
        <f t="shared" si="0"/>
        <v>2.58</v>
      </c>
    </row>
    <row r="5" spans="1:4" x14ac:dyDescent="0.25">
      <c r="A5" s="29"/>
      <c r="B5" s="30"/>
      <c r="C5" s="4">
        <v>1000</v>
      </c>
      <c r="D5" s="11">
        <f t="shared" si="0"/>
        <v>1000</v>
      </c>
    </row>
    <row r="6" spans="1:4" x14ac:dyDescent="0.25">
      <c r="A6" s="29"/>
      <c r="B6" s="30"/>
      <c r="C6" s="5">
        <v>42567</v>
      </c>
      <c r="D6" s="8">
        <f t="shared" si="0"/>
        <v>42567</v>
      </c>
    </row>
    <row r="7" spans="1:4" ht="30" x14ac:dyDescent="0.25">
      <c r="A7" s="29"/>
      <c r="B7" s="30"/>
      <c r="C7" s="6" t="s">
        <v>0</v>
      </c>
      <c r="D7" s="7" t="s">
        <v>3</v>
      </c>
    </row>
  </sheetData>
  <mergeCells count="3">
    <mergeCell ref="A1:D1"/>
    <mergeCell ref="A2:A7"/>
    <mergeCell ref="B2:B7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7CC2B0-9ED6-4BF3-B312-FF0636BAB527}">
  <dimension ref="A1:F11"/>
  <sheetViews>
    <sheetView workbookViewId="0">
      <selection activeCell="D4" sqref="D4"/>
    </sheetView>
  </sheetViews>
  <sheetFormatPr defaultRowHeight="15" x14ac:dyDescent="0.25"/>
  <cols>
    <col min="5" max="6" width="18.28515625" customWidth="1"/>
  </cols>
  <sheetData>
    <row r="1" spans="1:6" x14ac:dyDescent="0.25">
      <c r="A1" s="7" t="s">
        <v>4</v>
      </c>
      <c r="B1" s="7" t="s">
        <v>5</v>
      </c>
      <c r="C1" s="7" t="s">
        <v>6</v>
      </c>
      <c r="E1" s="7" t="s">
        <v>22</v>
      </c>
      <c r="F1" s="7" t="s">
        <v>23</v>
      </c>
    </row>
    <row r="2" spans="1:6" x14ac:dyDescent="0.25">
      <c r="A2" s="7" t="s">
        <v>7</v>
      </c>
      <c r="B2" s="7" t="s">
        <v>12</v>
      </c>
      <c r="C2" s="7" t="s">
        <v>17</v>
      </c>
      <c r="E2" s="7" t="s">
        <v>24</v>
      </c>
      <c r="F2" s="7" t="s">
        <v>25</v>
      </c>
    </row>
    <row r="3" spans="1:6" x14ac:dyDescent="0.25">
      <c r="A3" s="7" t="s">
        <v>8</v>
      </c>
      <c r="B3" s="7" t="s">
        <v>13</v>
      </c>
      <c r="C3" s="7" t="s">
        <v>18</v>
      </c>
      <c r="E3" s="7" t="s">
        <v>26</v>
      </c>
      <c r="F3" s="7" t="s">
        <v>27</v>
      </c>
    </row>
    <row r="4" spans="1:6" x14ac:dyDescent="0.25">
      <c r="A4" s="7" t="s">
        <v>9</v>
      </c>
      <c r="B4" s="7" t="s">
        <v>14</v>
      </c>
      <c r="C4" s="7" t="s">
        <v>19</v>
      </c>
      <c r="E4" s="7" t="s">
        <v>28</v>
      </c>
      <c r="F4" s="7" t="s">
        <v>29</v>
      </c>
    </row>
    <row r="5" spans="1:6" x14ac:dyDescent="0.25">
      <c r="A5" s="7" t="s">
        <v>10</v>
      </c>
      <c r="B5" s="7" t="s">
        <v>15</v>
      </c>
      <c r="C5" s="7" t="s">
        <v>20</v>
      </c>
      <c r="E5" s="7" t="s">
        <v>30</v>
      </c>
      <c r="F5" s="7" t="s">
        <v>31</v>
      </c>
    </row>
    <row r="6" spans="1:6" x14ac:dyDescent="0.25">
      <c r="A6" s="7" t="s">
        <v>11</v>
      </c>
      <c r="B6" s="7" t="s">
        <v>16</v>
      </c>
      <c r="C6" s="7" t="s">
        <v>21</v>
      </c>
      <c r="E6" s="7" t="s">
        <v>32</v>
      </c>
      <c r="F6" s="7" t="s">
        <v>33</v>
      </c>
    </row>
    <row r="7" spans="1:6" x14ac:dyDescent="0.25">
      <c r="A7" s="7" t="s">
        <v>7</v>
      </c>
      <c r="B7" s="7" t="s">
        <v>12</v>
      </c>
      <c r="C7" s="7" t="s">
        <v>17</v>
      </c>
      <c r="E7" s="7" t="s">
        <v>34</v>
      </c>
      <c r="F7" s="7" t="s">
        <v>35</v>
      </c>
    </row>
    <row r="8" spans="1:6" x14ac:dyDescent="0.25">
      <c r="A8" s="7" t="s">
        <v>8</v>
      </c>
      <c r="B8" s="7" t="s">
        <v>13</v>
      </c>
      <c r="C8" s="7" t="s">
        <v>18</v>
      </c>
      <c r="E8" s="7" t="s">
        <v>36</v>
      </c>
      <c r="F8" s="7" t="s">
        <v>37</v>
      </c>
    </row>
    <row r="9" spans="1:6" x14ac:dyDescent="0.25">
      <c r="A9" s="7" t="s">
        <v>9</v>
      </c>
      <c r="B9" s="7" t="s">
        <v>14</v>
      </c>
      <c r="C9" s="7" t="s">
        <v>19</v>
      </c>
      <c r="E9" s="7" t="s">
        <v>38</v>
      </c>
      <c r="F9" s="7" t="s">
        <v>25</v>
      </c>
    </row>
    <row r="10" spans="1:6" x14ac:dyDescent="0.25">
      <c r="A10" s="7" t="s">
        <v>10</v>
      </c>
      <c r="B10" s="7" t="s">
        <v>15</v>
      </c>
      <c r="C10" s="7" t="s">
        <v>20</v>
      </c>
      <c r="E10" s="7" t="s">
        <v>39</v>
      </c>
      <c r="F10" s="7" t="s">
        <v>27</v>
      </c>
    </row>
    <row r="11" spans="1:6" x14ac:dyDescent="0.25">
      <c r="A11" s="7" t="s">
        <v>11</v>
      </c>
      <c r="B11" s="7" t="s">
        <v>16</v>
      </c>
      <c r="C11" s="7" t="s">
        <v>21</v>
      </c>
      <c r="E11" s="7" t="s">
        <v>40</v>
      </c>
      <c r="F11" s="7" t="s">
        <v>29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3D2B02-3BF5-4230-A3BE-033FEB224CD4}">
  <dimension ref="A1:D7"/>
  <sheetViews>
    <sheetView workbookViewId="0">
      <selection activeCell="A9" sqref="A9"/>
    </sheetView>
  </sheetViews>
  <sheetFormatPr defaultRowHeight="15" x14ac:dyDescent="0.25"/>
  <cols>
    <col min="1" max="4" width="18.28515625" customWidth="1"/>
  </cols>
  <sheetData>
    <row r="1" spans="1:4" x14ac:dyDescent="0.25">
      <c r="A1" s="31" t="s">
        <v>41</v>
      </c>
      <c r="B1" s="31"/>
      <c r="C1" s="31"/>
      <c r="D1" s="31"/>
    </row>
    <row r="2" spans="1:4" ht="30" x14ac:dyDescent="0.25">
      <c r="A2" s="12" t="s">
        <v>42</v>
      </c>
      <c r="B2" s="12" t="s">
        <v>43</v>
      </c>
      <c r="C2" s="12" t="s">
        <v>44</v>
      </c>
      <c r="D2" s="12" t="s">
        <v>45</v>
      </c>
    </row>
    <row r="3" spans="1:4" x14ac:dyDescent="0.25">
      <c r="A3" s="35">
        <v>19</v>
      </c>
      <c r="B3" s="18">
        <v>5183460</v>
      </c>
      <c r="C3" s="13">
        <v>43587</v>
      </c>
      <c r="D3" s="17">
        <v>37498513547</v>
      </c>
    </row>
    <row r="4" spans="1:4" x14ac:dyDescent="0.25">
      <c r="A4" s="36">
        <v>23</v>
      </c>
      <c r="B4" s="18">
        <v>1986547</v>
      </c>
      <c r="C4" s="13">
        <v>44442</v>
      </c>
      <c r="D4" s="17">
        <v>2184521576</v>
      </c>
    </row>
    <row r="5" spans="1:4" x14ac:dyDescent="0.25">
      <c r="A5" s="36">
        <v>845</v>
      </c>
      <c r="B5" s="18">
        <v>4125687</v>
      </c>
      <c r="C5" s="13">
        <v>30502</v>
      </c>
      <c r="D5" s="17">
        <v>30349821576</v>
      </c>
    </row>
    <row r="6" spans="1:4" x14ac:dyDescent="0.25">
      <c r="A6" s="36">
        <v>1249</v>
      </c>
      <c r="B6" s="18">
        <v>4495321</v>
      </c>
      <c r="C6" s="13">
        <v>45937</v>
      </c>
      <c r="D6" s="17">
        <v>20049851583</v>
      </c>
    </row>
    <row r="7" spans="1:4" x14ac:dyDescent="0.25">
      <c r="A7" s="36">
        <v>30</v>
      </c>
      <c r="B7" s="18">
        <v>17848663</v>
      </c>
      <c r="C7" s="13">
        <v>36586</v>
      </c>
      <c r="D7" s="17">
        <v>55498702154</v>
      </c>
    </row>
  </sheetData>
  <mergeCells count="1">
    <mergeCell ref="A1:D1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8A4B68-0078-4808-BD53-5631F247E162}">
  <dimension ref="A1:D13"/>
  <sheetViews>
    <sheetView workbookViewId="0">
      <selection activeCell="B14" sqref="B14"/>
    </sheetView>
  </sheetViews>
  <sheetFormatPr defaultRowHeight="15" x14ac:dyDescent="0.25"/>
  <cols>
    <col min="1" max="1" width="22.85546875" customWidth="1"/>
    <col min="2" max="2" width="27.42578125" customWidth="1"/>
    <col min="3" max="4" width="18.28515625" customWidth="1"/>
  </cols>
  <sheetData>
    <row r="1" spans="1:4" x14ac:dyDescent="0.25">
      <c r="A1" s="32" t="s">
        <v>46</v>
      </c>
      <c r="B1" s="32"/>
      <c r="C1" s="32"/>
      <c r="D1" s="32"/>
    </row>
    <row r="2" spans="1:4" x14ac:dyDescent="0.25">
      <c r="A2" s="14" t="s">
        <v>47</v>
      </c>
      <c r="B2" s="14" t="s">
        <v>48</v>
      </c>
      <c r="C2" s="14" t="s">
        <v>49</v>
      </c>
      <c r="D2" s="14" t="s">
        <v>50</v>
      </c>
    </row>
    <row r="3" spans="1:4" x14ac:dyDescent="0.25">
      <c r="A3" s="15" t="s">
        <v>68</v>
      </c>
      <c r="B3" s="15" t="s">
        <v>57</v>
      </c>
      <c r="C3" s="15" t="s">
        <v>51</v>
      </c>
      <c r="D3" s="16">
        <v>1850</v>
      </c>
    </row>
    <row r="4" spans="1:4" x14ac:dyDescent="0.25">
      <c r="A4" s="15" t="s">
        <v>71</v>
      </c>
      <c r="B4" s="15" t="s">
        <v>60</v>
      </c>
      <c r="C4" s="15" t="s">
        <v>52</v>
      </c>
      <c r="D4" s="16">
        <v>2100</v>
      </c>
    </row>
    <row r="5" spans="1:4" x14ac:dyDescent="0.25">
      <c r="A5" s="15" t="s">
        <v>69</v>
      </c>
      <c r="B5" s="15" t="s">
        <v>58</v>
      </c>
      <c r="C5" s="15" t="s">
        <v>52</v>
      </c>
      <c r="D5" s="16">
        <v>4500</v>
      </c>
    </row>
    <row r="6" spans="1:4" x14ac:dyDescent="0.25">
      <c r="A6" s="15" t="s">
        <v>75</v>
      </c>
      <c r="B6" s="15" t="s">
        <v>64</v>
      </c>
      <c r="C6" s="15" t="s">
        <v>55</v>
      </c>
      <c r="D6" s="16">
        <v>3100</v>
      </c>
    </row>
    <row r="7" spans="1:4" x14ac:dyDescent="0.25">
      <c r="A7" s="15" t="s">
        <v>73</v>
      </c>
      <c r="B7" s="15" t="s">
        <v>62</v>
      </c>
      <c r="C7" s="15" t="s">
        <v>51</v>
      </c>
      <c r="D7" s="16">
        <v>1600</v>
      </c>
    </row>
    <row r="8" spans="1:4" x14ac:dyDescent="0.25">
      <c r="A8" s="15" t="s">
        <v>67</v>
      </c>
      <c r="B8" s="15" t="s">
        <v>56</v>
      </c>
      <c r="C8" s="15" t="s">
        <v>51</v>
      </c>
      <c r="D8" s="16">
        <v>2200</v>
      </c>
    </row>
    <row r="9" spans="1:4" x14ac:dyDescent="0.25">
      <c r="A9" s="15" t="s">
        <v>72</v>
      </c>
      <c r="B9" s="15" t="s">
        <v>61</v>
      </c>
      <c r="C9" s="15" t="s">
        <v>54</v>
      </c>
      <c r="D9" s="16">
        <v>3680</v>
      </c>
    </row>
    <row r="10" spans="1:4" x14ac:dyDescent="0.25">
      <c r="A10" s="15" t="s">
        <v>76</v>
      </c>
      <c r="B10" s="15" t="s">
        <v>65</v>
      </c>
      <c r="C10" s="15" t="s">
        <v>51</v>
      </c>
      <c r="D10" s="16">
        <v>4750</v>
      </c>
    </row>
    <row r="11" spans="1:4" x14ac:dyDescent="0.25">
      <c r="A11" s="15" t="s">
        <v>74</v>
      </c>
      <c r="B11" s="15" t="s">
        <v>63</v>
      </c>
      <c r="C11" s="15" t="s">
        <v>52</v>
      </c>
      <c r="D11" s="16">
        <v>1500</v>
      </c>
    </row>
    <row r="12" spans="1:4" x14ac:dyDescent="0.25">
      <c r="A12" s="15" t="s">
        <v>70</v>
      </c>
      <c r="B12" s="15" t="s">
        <v>59</v>
      </c>
      <c r="C12" s="15" t="s">
        <v>53</v>
      </c>
      <c r="D12" s="16">
        <v>3800</v>
      </c>
    </row>
    <row r="13" spans="1:4" x14ac:dyDescent="0.25">
      <c r="A13" s="15" t="s">
        <v>77</v>
      </c>
      <c r="B13" s="15" t="s">
        <v>66</v>
      </c>
      <c r="C13" s="15" t="s">
        <v>53</v>
      </c>
      <c r="D13" s="16">
        <v>1910</v>
      </c>
    </row>
  </sheetData>
  <sortState ref="A3:D13">
    <sortCondition ref="A3"/>
  </sortState>
  <mergeCells count="1">
    <mergeCell ref="A1:D1"/>
  </mergeCells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64703D-800B-4AAF-8106-183BE170F6D6}">
  <dimension ref="A1:H11"/>
  <sheetViews>
    <sheetView workbookViewId="0">
      <selection activeCell="F8" sqref="F8"/>
    </sheetView>
  </sheetViews>
  <sheetFormatPr defaultRowHeight="15" x14ac:dyDescent="0.25"/>
  <cols>
    <col min="1" max="1" width="27.42578125" customWidth="1"/>
    <col min="2" max="4" width="13.7109375" customWidth="1"/>
    <col min="5" max="5" width="18.28515625" customWidth="1"/>
    <col min="6" max="8" width="22.85546875" customWidth="1"/>
  </cols>
  <sheetData>
    <row r="1" spans="1:8" x14ac:dyDescent="0.25">
      <c r="A1" s="33" t="s">
        <v>78</v>
      </c>
      <c r="B1" s="33"/>
      <c r="C1" s="33"/>
      <c r="D1" s="33"/>
      <c r="E1" s="33"/>
      <c r="F1" s="33"/>
      <c r="G1" s="33"/>
      <c r="H1" s="33"/>
    </row>
    <row r="2" spans="1:8" ht="30" x14ac:dyDescent="0.25">
      <c r="A2" s="23" t="s">
        <v>60</v>
      </c>
      <c r="B2" s="23" t="s">
        <v>88</v>
      </c>
      <c r="C2" s="23" t="s">
        <v>89</v>
      </c>
      <c r="D2" s="23" t="s">
        <v>90</v>
      </c>
      <c r="E2" s="23" t="s">
        <v>91</v>
      </c>
      <c r="F2" s="23" t="s">
        <v>92</v>
      </c>
      <c r="G2" s="23" t="s">
        <v>93</v>
      </c>
      <c r="H2" s="23" t="s">
        <v>94</v>
      </c>
    </row>
    <row r="3" spans="1:8" x14ac:dyDescent="0.25">
      <c r="A3" s="19" t="s">
        <v>79</v>
      </c>
      <c r="B3" s="20">
        <v>10200</v>
      </c>
      <c r="C3" s="20">
        <v>12400</v>
      </c>
      <c r="D3" s="20">
        <v>15800</v>
      </c>
      <c r="E3" s="24">
        <f>SUM(B3:D3)</f>
        <v>38400</v>
      </c>
      <c r="F3" s="24">
        <f>MAX(B3:D3)</f>
        <v>15800</v>
      </c>
      <c r="G3" s="24">
        <f>MIN(B3:D3)</f>
        <v>10200</v>
      </c>
      <c r="H3" s="24">
        <f>AVERAGE(B3:D3)</f>
        <v>12800</v>
      </c>
    </row>
    <row r="4" spans="1:8" x14ac:dyDescent="0.25">
      <c r="A4" s="19" t="s">
        <v>80</v>
      </c>
      <c r="B4" s="20">
        <v>11800</v>
      </c>
      <c r="C4" s="20">
        <v>13700</v>
      </c>
      <c r="D4" s="20">
        <v>16950</v>
      </c>
      <c r="E4" s="24">
        <f t="shared" ref="E4:E7" si="0">SUM(B4:D4)</f>
        <v>42450</v>
      </c>
      <c r="F4" s="24">
        <f t="shared" ref="F4:F7" si="1">MAX(B4:D4)</f>
        <v>16950</v>
      </c>
      <c r="G4" s="24">
        <f t="shared" ref="G4:G7" si="2">MIN(B4:D4)</f>
        <v>11800</v>
      </c>
      <c r="H4" s="24">
        <f t="shared" ref="H4:H7" si="3">AVERAGE(B4:D4)</f>
        <v>14150</v>
      </c>
    </row>
    <row r="5" spans="1:8" x14ac:dyDescent="0.25">
      <c r="A5" s="19" t="s">
        <v>81</v>
      </c>
      <c r="B5" s="20">
        <v>12750</v>
      </c>
      <c r="C5" s="20">
        <v>14920</v>
      </c>
      <c r="D5" s="20">
        <v>17850</v>
      </c>
      <c r="E5" s="24">
        <f t="shared" si="0"/>
        <v>45520</v>
      </c>
      <c r="F5" s="24">
        <f t="shared" si="1"/>
        <v>17850</v>
      </c>
      <c r="G5" s="24">
        <f t="shared" si="2"/>
        <v>12750</v>
      </c>
      <c r="H5" s="24">
        <f t="shared" si="3"/>
        <v>15173.333333333334</v>
      </c>
    </row>
    <row r="6" spans="1:8" x14ac:dyDescent="0.25">
      <c r="A6" s="19" t="s">
        <v>82</v>
      </c>
      <c r="B6" s="20">
        <v>13120</v>
      </c>
      <c r="C6" s="20">
        <v>15850</v>
      </c>
      <c r="D6" s="20">
        <v>18450</v>
      </c>
      <c r="E6" s="24">
        <f t="shared" si="0"/>
        <v>47420</v>
      </c>
      <c r="F6" s="24">
        <f t="shared" si="1"/>
        <v>18450</v>
      </c>
      <c r="G6" s="24">
        <f t="shared" si="2"/>
        <v>13120</v>
      </c>
      <c r="H6" s="24">
        <f t="shared" si="3"/>
        <v>15806.666666666666</v>
      </c>
    </row>
    <row r="7" spans="1:8" x14ac:dyDescent="0.25">
      <c r="A7" s="19" t="s">
        <v>83</v>
      </c>
      <c r="B7" s="20">
        <v>14520</v>
      </c>
      <c r="C7" s="20">
        <v>16450</v>
      </c>
      <c r="D7" s="20">
        <v>19200</v>
      </c>
      <c r="E7" s="24">
        <f t="shared" si="0"/>
        <v>50170</v>
      </c>
      <c r="F7" s="24">
        <f t="shared" si="1"/>
        <v>19200</v>
      </c>
      <c r="G7" s="24">
        <f t="shared" si="2"/>
        <v>14520</v>
      </c>
      <c r="H7" s="24">
        <f t="shared" si="3"/>
        <v>16723.333333333332</v>
      </c>
    </row>
    <row r="8" spans="1:8" x14ac:dyDescent="0.25">
      <c r="A8" s="22" t="s">
        <v>84</v>
      </c>
      <c r="B8" s="21">
        <f>SUM(B3:B7)</f>
        <v>62390</v>
      </c>
      <c r="C8" s="21">
        <f t="shared" ref="C8:D8" si="4">SUM(C3:C7)</f>
        <v>73320</v>
      </c>
      <c r="D8" s="21">
        <f t="shared" si="4"/>
        <v>88250</v>
      </c>
    </row>
    <row r="9" spans="1:8" x14ac:dyDescent="0.25">
      <c r="A9" s="22" t="s">
        <v>85</v>
      </c>
      <c r="B9" s="21">
        <f>MAX(B3:B7)</f>
        <v>14520</v>
      </c>
      <c r="C9" s="21">
        <f t="shared" ref="C9:D9" si="5">MAX(C3:C7)</f>
        <v>16450</v>
      </c>
      <c r="D9" s="21">
        <f t="shared" si="5"/>
        <v>19200</v>
      </c>
    </row>
    <row r="10" spans="1:8" x14ac:dyDescent="0.25">
      <c r="A10" s="22" t="s">
        <v>86</v>
      </c>
      <c r="B10" s="21">
        <f>MIN(B3:B7)</f>
        <v>10200</v>
      </c>
      <c r="C10" s="21">
        <f t="shared" ref="C10:D10" si="6">MIN(C3:C7)</f>
        <v>12400</v>
      </c>
      <c r="D10" s="21">
        <f t="shared" si="6"/>
        <v>15800</v>
      </c>
    </row>
    <row r="11" spans="1:8" x14ac:dyDescent="0.25">
      <c r="A11" s="22" t="s">
        <v>87</v>
      </c>
      <c r="B11" s="21">
        <f>AVERAGE(B3:B7)</f>
        <v>12478</v>
      </c>
      <c r="C11" s="21">
        <f t="shared" ref="C11:D11" si="7">AVERAGE(C3:C7)</f>
        <v>14664</v>
      </c>
      <c r="D11" s="21">
        <f t="shared" si="7"/>
        <v>17650</v>
      </c>
    </row>
  </sheetData>
  <mergeCells count="1">
    <mergeCell ref="A1:H1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8FCA84-D217-44B6-9336-DB4627CA9D97}">
  <dimension ref="A1:C11"/>
  <sheetViews>
    <sheetView workbookViewId="0">
      <selection activeCell="C3" sqref="C3"/>
    </sheetView>
  </sheetViews>
  <sheetFormatPr defaultRowHeight="15" x14ac:dyDescent="0.25"/>
  <cols>
    <col min="1" max="3" width="18.28515625" customWidth="1"/>
  </cols>
  <sheetData>
    <row r="1" spans="1:3" x14ac:dyDescent="0.25">
      <c r="A1" s="34" t="s">
        <v>95</v>
      </c>
      <c r="B1" s="34"/>
      <c r="C1" s="34"/>
    </row>
    <row r="2" spans="1:3" ht="30" x14ac:dyDescent="0.25">
      <c r="A2" s="25" t="s">
        <v>96</v>
      </c>
      <c r="B2" s="25" t="s">
        <v>97</v>
      </c>
      <c r="C2" s="25" t="s">
        <v>98</v>
      </c>
    </row>
    <row r="3" spans="1:3" x14ac:dyDescent="0.25">
      <c r="A3" s="26">
        <v>1200</v>
      </c>
      <c r="B3" s="27">
        <v>0.05</v>
      </c>
      <c r="C3" s="26">
        <f>PRODUCT(A3*B3)</f>
        <v>60</v>
      </c>
    </row>
    <row r="4" spans="1:3" x14ac:dyDescent="0.25">
      <c r="A4" s="26">
        <v>750</v>
      </c>
      <c r="B4" s="27">
        <v>0.08</v>
      </c>
      <c r="C4" s="26">
        <f t="shared" ref="C4:C11" si="0">PRODUCT(A4*B4)</f>
        <v>60</v>
      </c>
    </row>
    <row r="5" spans="1:3" x14ac:dyDescent="0.25">
      <c r="A5" s="26">
        <v>600</v>
      </c>
      <c r="B5" s="27">
        <v>0.12</v>
      </c>
      <c r="C5" s="26">
        <f t="shared" si="0"/>
        <v>72</v>
      </c>
    </row>
    <row r="6" spans="1:3" x14ac:dyDescent="0.25">
      <c r="A6" s="26">
        <v>320</v>
      </c>
      <c r="B6" s="27">
        <v>0.3</v>
      </c>
      <c r="C6" s="26">
        <f t="shared" si="0"/>
        <v>96</v>
      </c>
    </row>
    <row r="7" spans="1:3" x14ac:dyDescent="0.25">
      <c r="A7" s="26">
        <v>100</v>
      </c>
      <c r="B7" s="27">
        <v>0.1</v>
      </c>
      <c r="C7" s="26">
        <f t="shared" si="0"/>
        <v>10</v>
      </c>
    </row>
    <row r="8" spans="1:3" x14ac:dyDescent="0.25">
      <c r="A8" s="26">
        <v>150</v>
      </c>
      <c r="B8" s="27">
        <v>0.04</v>
      </c>
      <c r="C8" s="26">
        <f t="shared" si="0"/>
        <v>6</v>
      </c>
    </row>
    <row r="9" spans="1:3" x14ac:dyDescent="0.25">
      <c r="A9" s="26">
        <v>230</v>
      </c>
      <c r="B9" s="27">
        <v>7.0000000000000007E-2</v>
      </c>
      <c r="C9" s="26">
        <f t="shared" si="0"/>
        <v>16.100000000000001</v>
      </c>
    </row>
    <row r="10" spans="1:3" x14ac:dyDescent="0.25">
      <c r="A10" s="26">
        <v>200</v>
      </c>
      <c r="B10" s="27">
        <v>0.11</v>
      </c>
      <c r="C10" s="26">
        <f t="shared" si="0"/>
        <v>22</v>
      </c>
    </row>
    <row r="11" spans="1:3" x14ac:dyDescent="0.25">
      <c r="A11" s="26">
        <v>420</v>
      </c>
      <c r="B11" s="27">
        <v>0.25</v>
      </c>
      <c r="C11" s="26">
        <f t="shared" si="0"/>
        <v>105</v>
      </c>
    </row>
  </sheetData>
  <mergeCells count="1">
    <mergeCell ref="A1:C1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F9EE0C-9114-4567-A9CA-5B55AF4A31E4}">
  <dimension ref="A1:D10"/>
  <sheetViews>
    <sheetView workbookViewId="0">
      <selection sqref="A1:D10"/>
    </sheetView>
  </sheetViews>
  <sheetFormatPr defaultRowHeight="15" x14ac:dyDescent="0.25"/>
  <cols>
    <col min="1" max="4" width="18.28515625" customWidth="1"/>
  </cols>
  <sheetData>
    <row r="1" spans="1:4" x14ac:dyDescent="0.25">
      <c r="A1" s="34" t="s">
        <v>99</v>
      </c>
      <c r="B1" s="34"/>
      <c r="C1" s="34"/>
      <c r="D1" s="34"/>
    </row>
    <row r="2" spans="1:4" ht="30" x14ac:dyDescent="0.25">
      <c r="A2" s="25" t="s">
        <v>100</v>
      </c>
      <c r="B2" s="25" t="s">
        <v>101</v>
      </c>
      <c r="C2" s="25" t="s">
        <v>102</v>
      </c>
      <c r="D2" s="25" t="s">
        <v>103</v>
      </c>
    </row>
    <row r="3" spans="1:4" x14ac:dyDescent="0.25">
      <c r="A3" s="26">
        <v>1894</v>
      </c>
      <c r="B3" s="27">
        <v>0.15</v>
      </c>
      <c r="C3" s="26">
        <f>A3*B3</f>
        <v>284.09999999999997</v>
      </c>
      <c r="D3" s="26">
        <f>A3+C3</f>
        <v>2178.1</v>
      </c>
    </row>
    <row r="4" spans="1:4" x14ac:dyDescent="0.25">
      <c r="A4" s="26">
        <v>1245</v>
      </c>
      <c r="B4" s="27">
        <v>0.3</v>
      </c>
      <c r="C4" s="26">
        <f t="shared" ref="C4:C10" si="0">A4*B4</f>
        <v>373.5</v>
      </c>
      <c r="D4" s="26">
        <f t="shared" ref="D4:D10" si="1">A4+C4</f>
        <v>1618.5</v>
      </c>
    </row>
    <row r="5" spans="1:4" x14ac:dyDescent="0.25">
      <c r="A5" s="26">
        <v>2357</v>
      </c>
      <c r="B5" s="27">
        <v>0.18</v>
      </c>
      <c r="C5" s="26">
        <f t="shared" si="0"/>
        <v>424.26</v>
      </c>
      <c r="D5" s="26">
        <f t="shared" si="1"/>
        <v>2781.26</v>
      </c>
    </row>
    <row r="6" spans="1:4" x14ac:dyDescent="0.25">
      <c r="A6" s="26">
        <v>9124</v>
      </c>
      <c r="B6" s="27">
        <v>0.23</v>
      </c>
      <c r="C6" s="26">
        <f t="shared" si="0"/>
        <v>2098.52</v>
      </c>
      <c r="D6" s="26">
        <f t="shared" si="1"/>
        <v>11222.52</v>
      </c>
    </row>
    <row r="7" spans="1:4" x14ac:dyDescent="0.25">
      <c r="A7" s="26">
        <v>1227</v>
      </c>
      <c r="B7" s="27">
        <v>0.12</v>
      </c>
      <c r="C7" s="26">
        <f t="shared" si="0"/>
        <v>147.23999999999998</v>
      </c>
      <c r="D7" s="26">
        <f t="shared" si="1"/>
        <v>1374.24</v>
      </c>
    </row>
    <row r="8" spans="1:4" x14ac:dyDescent="0.25">
      <c r="A8" s="26">
        <v>854</v>
      </c>
      <c r="B8" s="27">
        <v>0.1</v>
      </c>
      <c r="C8" s="26">
        <f t="shared" si="0"/>
        <v>85.4</v>
      </c>
      <c r="D8" s="26">
        <f t="shared" si="1"/>
        <v>939.4</v>
      </c>
    </row>
    <row r="9" spans="1:4" x14ac:dyDescent="0.25">
      <c r="A9" s="26">
        <v>2667</v>
      </c>
      <c r="B9" s="27">
        <v>0.25</v>
      </c>
      <c r="C9" s="26">
        <f t="shared" si="0"/>
        <v>666.75</v>
      </c>
      <c r="D9" s="26">
        <f t="shared" si="1"/>
        <v>3333.75</v>
      </c>
    </row>
    <row r="10" spans="1:4" x14ac:dyDescent="0.25">
      <c r="A10" s="26">
        <v>1127</v>
      </c>
      <c r="B10" s="27">
        <v>0.15</v>
      </c>
      <c r="C10" s="26">
        <f t="shared" si="0"/>
        <v>169.04999999999998</v>
      </c>
      <c r="D10" s="26">
        <f t="shared" si="1"/>
        <v>1296.05</v>
      </c>
    </row>
  </sheetData>
  <mergeCells count="1">
    <mergeCell ref="A1:D1"/>
  </mergeCells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DD62C6-82E2-41B8-8C41-992AD2E082DD}">
  <dimension ref="A1:C10"/>
  <sheetViews>
    <sheetView workbookViewId="0">
      <selection activeCell="C3" sqref="C3"/>
    </sheetView>
  </sheetViews>
  <sheetFormatPr defaultRowHeight="15" x14ac:dyDescent="0.25"/>
  <cols>
    <col min="1" max="3" width="18.28515625" customWidth="1"/>
  </cols>
  <sheetData>
    <row r="1" spans="1:3" x14ac:dyDescent="0.25">
      <c r="A1" s="37" t="s">
        <v>99</v>
      </c>
      <c r="B1" s="38"/>
      <c r="C1" s="39"/>
    </row>
    <row r="2" spans="1:3" ht="32.25" customHeight="1" x14ac:dyDescent="0.25">
      <c r="A2" s="25" t="s">
        <v>100</v>
      </c>
      <c r="B2" s="25" t="s">
        <v>101</v>
      </c>
      <c r="C2" s="25" t="s">
        <v>103</v>
      </c>
    </row>
    <row r="3" spans="1:3" x14ac:dyDescent="0.25">
      <c r="A3" s="26">
        <v>1894</v>
      </c>
      <c r="B3" s="27">
        <v>0.15</v>
      </c>
      <c r="C3" s="26">
        <f>A3+(A3*B3)</f>
        <v>2178.1</v>
      </c>
    </row>
    <row r="4" spans="1:3" x14ac:dyDescent="0.25">
      <c r="A4" s="26">
        <v>1245</v>
      </c>
      <c r="B4" s="27">
        <v>0.3</v>
      </c>
      <c r="C4" s="26">
        <f t="shared" ref="C4:C10" si="0">A4+(A4*B4)</f>
        <v>1618.5</v>
      </c>
    </row>
    <row r="5" spans="1:3" x14ac:dyDescent="0.25">
      <c r="A5" s="26">
        <v>2357</v>
      </c>
      <c r="B5" s="27">
        <v>0.18</v>
      </c>
      <c r="C5" s="26">
        <f t="shared" si="0"/>
        <v>2781.26</v>
      </c>
    </row>
    <row r="6" spans="1:3" x14ac:dyDescent="0.25">
      <c r="A6" s="26">
        <v>9124</v>
      </c>
      <c r="B6" s="27">
        <v>0.23</v>
      </c>
      <c r="C6" s="26">
        <f t="shared" si="0"/>
        <v>11222.52</v>
      </c>
    </row>
    <row r="7" spans="1:3" x14ac:dyDescent="0.25">
      <c r="A7" s="26">
        <v>1227</v>
      </c>
      <c r="B7" s="27">
        <v>0.12</v>
      </c>
      <c r="C7" s="26">
        <f t="shared" si="0"/>
        <v>1374.24</v>
      </c>
    </row>
    <row r="8" spans="1:3" x14ac:dyDescent="0.25">
      <c r="A8" s="26">
        <v>854</v>
      </c>
      <c r="B8" s="27">
        <v>0.1</v>
      </c>
      <c r="C8" s="26">
        <f t="shared" si="0"/>
        <v>939.4</v>
      </c>
    </row>
    <row r="9" spans="1:3" x14ac:dyDescent="0.25">
      <c r="A9" s="26">
        <v>2667</v>
      </c>
      <c r="B9" s="27">
        <v>0.25</v>
      </c>
      <c r="C9" s="26">
        <f t="shared" si="0"/>
        <v>3333.75</v>
      </c>
    </row>
    <row r="10" spans="1:3" x14ac:dyDescent="0.25">
      <c r="A10" s="26">
        <v>1127</v>
      </c>
      <c r="B10" s="27">
        <v>0.15</v>
      </c>
      <c r="C10" s="26">
        <f t="shared" si="0"/>
        <v>1296.05</v>
      </c>
    </row>
  </sheetData>
  <mergeCells count="1">
    <mergeCell ref="A1:C1"/>
  </mergeCells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40CA74-2469-430F-A83A-D4EEEBF888D9}">
  <dimension ref="A1:D12"/>
  <sheetViews>
    <sheetView workbookViewId="0">
      <selection sqref="A1:D10"/>
    </sheetView>
  </sheetViews>
  <sheetFormatPr defaultColWidth="18.28515625" defaultRowHeight="15" x14ac:dyDescent="0.25"/>
  <cols>
    <col min="1" max="1" width="18.28515625" customWidth="1"/>
  </cols>
  <sheetData>
    <row r="1" spans="1:4" x14ac:dyDescent="0.25">
      <c r="A1" s="34" t="s">
        <v>104</v>
      </c>
      <c r="B1" s="34"/>
      <c r="C1" s="34"/>
      <c r="D1" s="34"/>
    </row>
    <row r="2" spans="1:4" ht="30" x14ac:dyDescent="0.25">
      <c r="A2" s="25" t="s">
        <v>105</v>
      </c>
      <c r="B2" s="25" t="s">
        <v>106</v>
      </c>
      <c r="C2" s="25" t="s">
        <v>107</v>
      </c>
      <c r="D2" s="25" t="s">
        <v>108</v>
      </c>
    </row>
    <row r="3" spans="1:4" x14ac:dyDescent="0.25">
      <c r="A3" s="41">
        <v>987</v>
      </c>
      <c r="B3" s="27">
        <v>0.08</v>
      </c>
      <c r="C3" s="43">
        <f>A3*B3</f>
        <v>78.960000000000008</v>
      </c>
      <c r="D3" s="43">
        <f>A3-(A3*B3)</f>
        <v>908.04</v>
      </c>
    </row>
    <row r="4" spans="1:4" x14ac:dyDescent="0.25">
      <c r="A4" s="41">
        <v>456</v>
      </c>
      <c r="B4" s="27">
        <v>0.09</v>
      </c>
      <c r="C4" s="43">
        <f t="shared" ref="C4:C10" si="0">A4*B4</f>
        <v>41.04</v>
      </c>
      <c r="D4" s="43">
        <f t="shared" ref="D4:D10" si="1">A4-(A4*B4)</f>
        <v>414.96</v>
      </c>
    </row>
    <row r="5" spans="1:4" x14ac:dyDescent="0.25">
      <c r="A5" s="42">
        <v>2487</v>
      </c>
      <c r="B5" s="27">
        <v>0.1</v>
      </c>
      <c r="C5" s="43">
        <f t="shared" si="0"/>
        <v>248.70000000000002</v>
      </c>
      <c r="D5" s="43">
        <f t="shared" si="1"/>
        <v>2238.3000000000002</v>
      </c>
    </row>
    <row r="6" spans="1:4" x14ac:dyDescent="0.25">
      <c r="A6" s="41">
        <v>855</v>
      </c>
      <c r="B6" s="27">
        <v>0.13</v>
      </c>
      <c r="C6" s="43">
        <f t="shared" si="0"/>
        <v>111.15</v>
      </c>
      <c r="D6" s="43">
        <f t="shared" si="1"/>
        <v>743.85</v>
      </c>
    </row>
    <row r="7" spans="1:4" x14ac:dyDescent="0.25">
      <c r="A7" s="41">
        <v>724</v>
      </c>
      <c r="B7" s="27">
        <v>0.15</v>
      </c>
      <c r="C7" s="43">
        <f t="shared" si="0"/>
        <v>108.6</v>
      </c>
      <c r="D7" s="43">
        <f t="shared" si="1"/>
        <v>615.4</v>
      </c>
    </row>
    <row r="8" spans="1:4" x14ac:dyDescent="0.25">
      <c r="A8" s="41">
        <v>678</v>
      </c>
      <c r="B8" s="27">
        <v>0.09</v>
      </c>
      <c r="C8" s="43">
        <f t="shared" si="0"/>
        <v>61.019999999999996</v>
      </c>
      <c r="D8" s="43">
        <f t="shared" si="1"/>
        <v>616.98</v>
      </c>
    </row>
    <row r="9" spans="1:4" x14ac:dyDescent="0.25">
      <c r="A9" s="41">
        <v>334</v>
      </c>
      <c r="B9" s="27">
        <v>0.1</v>
      </c>
      <c r="C9" s="43">
        <f t="shared" si="0"/>
        <v>33.4</v>
      </c>
      <c r="D9" s="43">
        <f t="shared" si="1"/>
        <v>300.60000000000002</v>
      </c>
    </row>
    <row r="10" spans="1:4" x14ac:dyDescent="0.25">
      <c r="A10" s="41">
        <v>1198</v>
      </c>
      <c r="B10" s="27">
        <v>0.05</v>
      </c>
      <c r="C10" s="43">
        <f t="shared" si="0"/>
        <v>59.900000000000006</v>
      </c>
      <c r="D10" s="43">
        <f t="shared" si="1"/>
        <v>1138.0999999999999</v>
      </c>
    </row>
    <row r="11" spans="1:4" x14ac:dyDescent="0.25">
      <c r="A11" s="40"/>
      <c r="B11" s="40"/>
      <c r="C11" s="40"/>
      <c r="D11" s="40"/>
    </row>
    <row r="12" spans="1:4" x14ac:dyDescent="0.25">
      <c r="A12" s="40"/>
      <c r="B12" s="40"/>
      <c r="C12" s="40"/>
      <c r="D12" s="40"/>
    </row>
  </sheetData>
  <mergeCells count="1">
    <mergeCell ref="A1:D1"/>
  </mergeCells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1A59E7-EA04-4E0E-956B-2E07B25197B8}">
  <dimension ref="A1:C10"/>
  <sheetViews>
    <sheetView workbookViewId="0">
      <selection activeCell="C15" sqref="C15"/>
    </sheetView>
  </sheetViews>
  <sheetFormatPr defaultColWidth="18.28515625" defaultRowHeight="15" x14ac:dyDescent="0.25"/>
  <sheetData>
    <row r="1" spans="1:3" x14ac:dyDescent="0.25">
      <c r="A1" s="37" t="s">
        <v>104</v>
      </c>
      <c r="B1" s="38"/>
      <c r="C1" s="39"/>
    </row>
    <row r="2" spans="1:3" ht="30" x14ac:dyDescent="0.25">
      <c r="A2" s="25" t="s">
        <v>105</v>
      </c>
      <c r="B2" s="25" t="s">
        <v>106</v>
      </c>
      <c r="C2" s="25" t="s">
        <v>108</v>
      </c>
    </row>
    <row r="3" spans="1:3" x14ac:dyDescent="0.25">
      <c r="A3" s="44">
        <v>987</v>
      </c>
      <c r="B3" s="27">
        <v>0.08</v>
      </c>
      <c r="C3" s="45">
        <f>A3-(A3*B3)</f>
        <v>908.04</v>
      </c>
    </row>
    <row r="4" spans="1:3" x14ac:dyDescent="0.25">
      <c r="A4" s="44">
        <v>456</v>
      </c>
      <c r="B4" s="27">
        <v>0.09</v>
      </c>
      <c r="C4" s="45">
        <f t="shared" ref="C4:C10" si="0">A4-(A4*B4)</f>
        <v>414.96</v>
      </c>
    </row>
    <row r="5" spans="1:3" x14ac:dyDescent="0.25">
      <c r="A5" s="46">
        <v>2487</v>
      </c>
      <c r="B5" s="27">
        <v>0.1</v>
      </c>
      <c r="C5" s="45">
        <f t="shared" si="0"/>
        <v>2238.3000000000002</v>
      </c>
    </row>
    <row r="6" spans="1:3" x14ac:dyDescent="0.25">
      <c r="A6" s="44">
        <v>855</v>
      </c>
      <c r="B6" s="27">
        <v>0.13</v>
      </c>
      <c r="C6" s="45">
        <f t="shared" si="0"/>
        <v>743.85</v>
      </c>
    </row>
    <row r="7" spans="1:3" x14ac:dyDescent="0.25">
      <c r="A7" s="44">
        <v>724</v>
      </c>
      <c r="B7" s="27">
        <v>0.15</v>
      </c>
      <c r="C7" s="45">
        <f t="shared" si="0"/>
        <v>615.4</v>
      </c>
    </row>
    <row r="8" spans="1:3" x14ac:dyDescent="0.25">
      <c r="A8" s="44">
        <v>678</v>
      </c>
      <c r="B8" s="27">
        <v>0.09</v>
      </c>
      <c r="C8" s="45">
        <f t="shared" si="0"/>
        <v>616.98</v>
      </c>
    </row>
    <row r="9" spans="1:3" x14ac:dyDescent="0.25">
      <c r="A9" s="44">
        <v>334</v>
      </c>
      <c r="B9" s="27">
        <v>0.1</v>
      </c>
      <c r="C9" s="45">
        <f t="shared" si="0"/>
        <v>300.60000000000002</v>
      </c>
    </row>
    <row r="10" spans="1:3" x14ac:dyDescent="0.25">
      <c r="A10" s="44">
        <v>1198</v>
      </c>
      <c r="B10" s="27">
        <v>0.05</v>
      </c>
      <c r="C10" s="45">
        <f t="shared" si="0"/>
        <v>1138.0999999999999</v>
      </c>
    </row>
  </sheetData>
  <mergeCells count="1">
    <mergeCell ref="A1:C1"/>
  </mergeCells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785A7E-C666-4C48-B39E-3FFFD9BCE6C0}">
  <dimension ref="A1:C13"/>
  <sheetViews>
    <sheetView tabSelected="1" workbookViewId="0">
      <selection activeCell="D3" sqref="D3"/>
    </sheetView>
  </sheetViews>
  <sheetFormatPr defaultColWidth="18.28515625" defaultRowHeight="15" x14ac:dyDescent="0.25"/>
  <sheetData>
    <row r="1" spans="1:3" x14ac:dyDescent="0.25">
      <c r="A1" s="34" t="s">
        <v>112</v>
      </c>
      <c r="B1" s="34"/>
      <c r="C1" s="34"/>
    </row>
    <row r="2" spans="1:3" ht="30" x14ac:dyDescent="0.25">
      <c r="A2" s="25" t="s">
        <v>109</v>
      </c>
      <c r="B2" s="25" t="s">
        <v>110</v>
      </c>
      <c r="C2" s="25" t="s">
        <v>111</v>
      </c>
    </row>
    <row r="3" spans="1:3" x14ac:dyDescent="0.25">
      <c r="A3" s="26">
        <v>1445</v>
      </c>
      <c r="B3" s="27">
        <v>0.15</v>
      </c>
      <c r="C3" s="26">
        <f>A3+(A3*B3)</f>
        <v>1661.75</v>
      </c>
    </row>
    <row r="4" spans="1:3" x14ac:dyDescent="0.25">
      <c r="A4" s="47">
        <v>258</v>
      </c>
      <c r="B4" s="27">
        <v>0.15</v>
      </c>
      <c r="C4" s="26">
        <f t="shared" ref="C4:C13" si="0">A4+(A4*B4)</f>
        <v>296.7</v>
      </c>
    </row>
    <row r="5" spans="1:3" x14ac:dyDescent="0.25">
      <c r="A5" s="47">
        <v>702</v>
      </c>
      <c r="B5" s="27">
        <v>0.15</v>
      </c>
      <c r="C5" s="26">
        <f t="shared" si="0"/>
        <v>807.3</v>
      </c>
    </row>
    <row r="6" spans="1:3" x14ac:dyDescent="0.25">
      <c r="A6" s="47">
        <v>374</v>
      </c>
      <c r="B6" s="27">
        <v>0.15</v>
      </c>
      <c r="C6" s="26">
        <f t="shared" si="0"/>
        <v>430.1</v>
      </c>
    </row>
    <row r="7" spans="1:3" x14ac:dyDescent="0.25">
      <c r="A7" s="47">
        <v>9541</v>
      </c>
      <c r="B7" s="27">
        <v>0.15</v>
      </c>
      <c r="C7" s="26">
        <f t="shared" si="0"/>
        <v>10972.15</v>
      </c>
    </row>
    <row r="8" spans="1:3" x14ac:dyDescent="0.25">
      <c r="A8" s="47">
        <v>1459</v>
      </c>
      <c r="B8" s="27">
        <v>0.15</v>
      </c>
      <c r="C8" s="26">
        <f t="shared" si="0"/>
        <v>1677.85</v>
      </c>
    </row>
    <row r="9" spans="1:3" x14ac:dyDescent="0.25">
      <c r="A9" s="47">
        <v>1157</v>
      </c>
      <c r="B9" s="27">
        <v>0.15</v>
      </c>
      <c r="C9" s="26">
        <f t="shared" si="0"/>
        <v>1330.55</v>
      </c>
    </row>
    <row r="10" spans="1:3" x14ac:dyDescent="0.25">
      <c r="A10" s="47">
        <v>1354</v>
      </c>
      <c r="B10" s="27">
        <v>0.15</v>
      </c>
      <c r="C10" s="26">
        <f t="shared" si="0"/>
        <v>1557.1</v>
      </c>
    </row>
    <row r="11" spans="1:3" x14ac:dyDescent="0.25">
      <c r="A11" s="47">
        <v>456</v>
      </c>
      <c r="B11" s="27">
        <v>0.15</v>
      </c>
      <c r="C11" s="26">
        <f t="shared" si="0"/>
        <v>524.4</v>
      </c>
    </row>
    <row r="12" spans="1:3" x14ac:dyDescent="0.25">
      <c r="A12" s="47">
        <v>1128</v>
      </c>
      <c r="B12" s="27">
        <v>0.15</v>
      </c>
      <c r="C12" s="26">
        <f t="shared" si="0"/>
        <v>1297.2</v>
      </c>
    </row>
    <row r="13" spans="1:3" x14ac:dyDescent="0.25">
      <c r="A13" s="47">
        <v>560</v>
      </c>
      <c r="B13" s="27">
        <v>0.15</v>
      </c>
      <c r="C13" s="26">
        <f t="shared" si="0"/>
        <v>644</v>
      </c>
    </row>
  </sheetData>
  <mergeCells count="1">
    <mergeCell ref="A1:C1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11</vt:i4>
      </vt:variant>
    </vt:vector>
  </HeadingPairs>
  <TitlesOfParts>
    <vt:vector size="11" baseType="lpstr">
      <vt:lpstr>01-formatacao</vt:lpstr>
      <vt:lpstr>02-Listas</vt:lpstr>
      <vt:lpstr>03-Formatos Personalizados</vt:lpstr>
      <vt:lpstr>04-Classificacao e filtro</vt:lpstr>
      <vt:lpstr>05-Formulas e Funcoes</vt:lpstr>
      <vt:lpstr>06-Porcentagem</vt:lpstr>
      <vt:lpstr>07-Acrescimo 1</vt:lpstr>
      <vt:lpstr>08-Acrescimo 2</vt:lpstr>
      <vt:lpstr>09-Desconto 1</vt:lpstr>
      <vt:lpstr>10-Desconto 2</vt:lpstr>
      <vt:lpstr>11-Copia relativa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WILCK GOMES DE OLIVEIRA</dc:creator>
  <cp:lastModifiedBy>WILCK GOMES DE OLIVEIRA</cp:lastModifiedBy>
  <dcterms:created xsi:type="dcterms:W3CDTF">2026-02-11T21:53:46Z</dcterms:created>
  <dcterms:modified xsi:type="dcterms:W3CDTF">2026-02-13T00:01:27Z</dcterms:modified>
</cp:coreProperties>
</file>