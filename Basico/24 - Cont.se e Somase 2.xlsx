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08901143-EEBF-4536-AACE-B765AA6F23BA}" xr6:coauthVersionLast="36" xr6:coauthVersionMax="36" xr10:uidLastSave="{00000000-0000-0000-0000-000000000000}"/>
  <bookViews>
    <workbookView xWindow="0" yWindow="0" windowWidth="15360" windowHeight="7425" firstSheet="15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I10" i="25" l="1"/>
  <c r="H7" i="25"/>
  <c r="H4" i="25"/>
  <c r="H5" i="25"/>
  <c r="H6" i="25"/>
  <c r="H3" i="25"/>
  <c r="I4" i="25"/>
  <c r="I5" i="25"/>
  <c r="I6" i="25"/>
  <c r="I7" i="25"/>
  <c r="I3" i="25"/>
  <c r="G4" i="25"/>
  <c r="G5" i="25"/>
  <c r="G6" i="25"/>
  <c r="G7" i="25"/>
  <c r="G3" i="25"/>
  <c r="I9" i="24" l="1"/>
  <c r="H3" i="24"/>
  <c r="I7" i="24"/>
  <c r="H4" i="24"/>
  <c r="H5" i="24"/>
  <c r="H6" i="24"/>
  <c r="H7" i="24"/>
  <c r="H8" i="24"/>
  <c r="K3" i="23"/>
  <c r="E20" i="24"/>
  <c r="E6" i="24"/>
  <c r="I3" i="24" s="1"/>
  <c r="E11" i="24"/>
  <c r="E12" i="24"/>
  <c r="E14" i="24"/>
  <c r="I5" i="24" s="1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<sst xmlns="http://schemas.openxmlformats.org/spreadsheetml/2006/main" count="426" uniqueCount="296">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</sst>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61" t="s">
        <v>0</v>
      </c>
      <c r="B1" s="61"/>
      <c r="C1" s="61"/>
      <c r="D1" s="61"/>
    </row>
    <row r="2" spans="1:4" x14ac:dyDescent="0.25">
      <c r="A2" s="62" t="s">
        <v>1</v>
      </c>
      <c r="B2" s="63" t="s">
        <v>2</v>
      </c>
      <c r="C2" s="2">
        <v>23</v>
      </c>
      <c r="D2" s="1">
        <f>C2</f>
        <v>23</v>
      </c>
    </row>
    <row r="3" spans="1:4" x14ac:dyDescent="0.25">
      <c r="A3" s="62"/>
      <c r="B3" s="63"/>
      <c r="C3" s="3">
        <v>0.1</v>
      </c>
      <c r="D3" s="10">
        <f t="shared" ref="D3:D6" si="0">C3</f>
        <v>0.1</v>
      </c>
    </row>
    <row r="4" spans="1:4" x14ac:dyDescent="0.25">
      <c r="A4" s="62"/>
      <c r="B4" s="63"/>
      <c r="C4">
        <v>2.58</v>
      </c>
      <c r="D4" s="9">
        <f t="shared" si="0"/>
        <v>2.58</v>
      </c>
    </row>
    <row r="5" spans="1:4" x14ac:dyDescent="0.25">
      <c r="A5" s="62"/>
      <c r="B5" s="63"/>
      <c r="C5" s="4">
        <v>1000</v>
      </c>
      <c r="D5" s="11">
        <f t="shared" si="0"/>
        <v>1000</v>
      </c>
    </row>
    <row r="6" spans="1:4" x14ac:dyDescent="0.25">
      <c r="A6" s="62"/>
      <c r="B6" s="63"/>
      <c r="C6" s="5">
        <v>42567</v>
      </c>
      <c r="D6" s="8">
        <f t="shared" si="0"/>
        <v>42567</v>
      </c>
    </row>
    <row r="7" spans="1:4" ht="30" x14ac:dyDescent="0.25">
      <c r="A7" s="62"/>
      <c r="B7" s="63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64" t="s">
        <v>41</v>
      </c>
      <c r="B1" s="64"/>
      <c r="C1" s="64"/>
      <c r="D1" s="64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65" t="s">
        <v>46</v>
      </c>
      <c r="B1" s="65"/>
      <c r="C1" s="65"/>
      <c r="D1" s="65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66" t="s">
        <v>78</v>
      </c>
      <c r="B1" s="66"/>
      <c r="C1" s="66"/>
      <c r="D1" s="66"/>
      <c r="E1" s="66"/>
      <c r="F1" s="66"/>
      <c r="G1" s="66"/>
      <c r="H1" s="66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7" t="s">
        <v>95</v>
      </c>
      <c r="B1" s="67"/>
      <c r="C1" s="67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67" t="s">
        <v>99</v>
      </c>
      <c r="B1" s="67"/>
      <c r="C1" s="67"/>
      <c r="D1" s="67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8" t="s">
        <v>99</v>
      </c>
      <c r="B1" s="69"/>
      <c r="C1" s="70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67" t="s">
        <v>104</v>
      </c>
      <c r="B1" s="67"/>
      <c r="C1" s="67"/>
      <c r="D1" s="67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68" t="s">
        <v>104</v>
      </c>
      <c r="B1" s="69"/>
      <c r="C1" s="70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67" t="s">
        <v>112</v>
      </c>
      <c r="B1" s="67"/>
      <c r="C1" s="67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67" t="s">
        <v>112</v>
      </c>
      <c r="B1" s="67"/>
      <c r="C1" s="67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F3" sqref="F3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71" t="s">
        <v>113</v>
      </c>
      <c r="B1" s="71"/>
      <c r="C1" s="71"/>
      <c r="D1" s="71"/>
      <c r="E1" s="71"/>
      <c r="F1" s="71"/>
      <c r="G1" s="71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71" t="s">
        <v>120</v>
      </c>
      <c r="B1" s="72"/>
      <c r="C1" s="72"/>
      <c r="D1" s="72"/>
      <c r="E1" s="72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3" t="s">
        <v>146</v>
      </c>
      <c r="D13" s="74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C9" sqref="C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3" t="s">
        <v>148</v>
      </c>
      <c r="B1" s="75"/>
      <c r="C1" s="74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76" t="s">
        <v>159</v>
      </c>
      <c r="B1" s="77"/>
      <c r="C1" s="77"/>
      <c r="D1" s="78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76" t="s">
        <v>171</v>
      </c>
      <c r="B1" s="77"/>
      <c r="C1" s="77"/>
      <c r="D1" s="77"/>
      <c r="E1" s="77"/>
      <c r="F1" s="78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72" t="s">
        <v>177</v>
      </c>
      <c r="E15" s="72"/>
      <c r="F15" s="26">
        <f>SUM(F3:F14)</f>
        <v>8669.24</v>
      </c>
    </row>
    <row r="16" spans="1:6" x14ac:dyDescent="0.25">
      <c r="D16" s="72" t="s">
        <v>178</v>
      </c>
      <c r="E16" s="72"/>
      <c r="F16" s="26">
        <f>AVERAGE(F3:F14)</f>
        <v>722.43666666666661</v>
      </c>
    </row>
    <row r="17" spans="4:6" x14ac:dyDescent="0.25">
      <c r="D17" s="72" t="s">
        <v>179</v>
      </c>
      <c r="E17" s="72"/>
      <c r="F17" s="26">
        <f>MAX(F3:F14)</f>
        <v>1670.3999999999999</v>
      </c>
    </row>
    <row r="18" spans="4:6" x14ac:dyDescent="0.25">
      <c r="D18" s="72" t="s">
        <v>180</v>
      </c>
      <c r="E18" s="72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9" t="s">
        <v>198</v>
      </c>
      <c r="B1" s="79"/>
      <c r="C1" s="79"/>
      <c r="D1" s="79"/>
      <c r="E1" s="79"/>
      <c r="F1" s="79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79" t="s">
        <v>206</v>
      </c>
      <c r="B1" s="79"/>
      <c r="C1" s="79"/>
      <c r="D1" s="79"/>
    </row>
    <row r="2" spans="1:4" x14ac:dyDescent="0.25">
      <c r="A2" s="51" t="s">
        <v>208</v>
      </c>
      <c r="B2" s="80" t="s">
        <v>210</v>
      </c>
      <c r="C2" s="81"/>
      <c r="D2" s="82"/>
    </row>
    <row r="3" spans="1:4" x14ac:dyDescent="0.25">
      <c r="A3" s="51" t="s">
        <v>43</v>
      </c>
      <c r="B3" s="83">
        <v>5144230</v>
      </c>
      <c r="C3" s="84"/>
      <c r="D3" s="85"/>
    </row>
    <row r="4" spans="1:4" x14ac:dyDescent="0.25">
      <c r="A4" s="51" t="s">
        <v>207</v>
      </c>
      <c r="B4" s="80" t="s">
        <v>211</v>
      </c>
      <c r="C4" s="81"/>
      <c r="D4" s="82"/>
    </row>
    <row r="5" spans="1:4" x14ac:dyDescent="0.25">
      <c r="A5" s="51" t="s">
        <v>154</v>
      </c>
      <c r="B5" s="86">
        <v>33337878</v>
      </c>
      <c r="C5" s="87"/>
      <c r="D5" s="88"/>
    </row>
    <row r="7" spans="1:4" x14ac:dyDescent="0.25">
      <c r="A7" s="79" t="s">
        <v>205</v>
      </c>
      <c r="B7" s="79"/>
      <c r="C7" s="79"/>
      <c r="D7" s="79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3" t="s">
        <v>209</v>
      </c>
      <c r="C15" s="74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3" t="s">
        <v>200</v>
      </c>
      <c r="C18" s="74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89" t="s">
        <v>217</v>
      </c>
      <c r="B1" s="90"/>
      <c r="C1" s="90"/>
      <c r="D1" s="90"/>
      <c r="E1" s="90"/>
      <c r="F1" s="90"/>
      <c r="G1" s="90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E5" sqref="E5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71" t="s">
        <v>234</v>
      </c>
      <c r="B1" s="72"/>
      <c r="D1" s="76" t="s">
        <v>237</v>
      </c>
      <c r="E1" s="78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K6" sqref="K6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71" t="s">
        <v>242</v>
      </c>
      <c r="B1" s="71"/>
      <c r="C1" s="71"/>
      <c r="D1" s="71"/>
      <c r="E1" s="71"/>
      <c r="G1" s="71" t="s">
        <v>237</v>
      </c>
      <c r="H1" s="72"/>
      <c r="I1" s="72"/>
      <c r="J1" s="72"/>
      <c r="K1" s="72"/>
      <c r="L1" s="72"/>
      <c r="M1" s="72"/>
      <c r="N1" s="72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91" t="s">
        <v>246</v>
      </c>
      <c r="H2" s="91"/>
      <c r="I2" s="7"/>
      <c r="J2" s="72" t="s">
        <v>247</v>
      </c>
      <c r="K2" s="72"/>
      <c r="L2" s="7"/>
      <c r="M2" s="72" t="s">
        <v>248</v>
      </c>
      <c r="N2" s="72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I9" sqref="I9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92" t="s">
        <v>257</v>
      </c>
      <c r="B1" s="93"/>
      <c r="C1" s="93"/>
      <c r="D1" s="93"/>
      <c r="E1" s="94"/>
      <c r="G1" s="79" t="s">
        <v>263</v>
      </c>
      <c r="H1" s="79"/>
      <c r="I1" s="79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 t="shared" si="1"/>
        <v>8801</v>
      </c>
      <c r="I7" s="41">
        <f t="shared" si="1"/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 t="shared" si="0"/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G3" sqref="G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71" t="s">
        <v>273</v>
      </c>
      <c r="B1" s="71"/>
      <c r="C1" s="71"/>
      <c r="D1" s="71"/>
      <c r="F1" s="71" t="s">
        <v>274</v>
      </c>
      <c r="G1" s="71"/>
      <c r="H1" s="71"/>
      <c r="I1" s="71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0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7" si="0">SUMIF($A$3:$A$17,$F4,$D$3:$D$17)</f>
        <v>3491.24</v>
      </c>
      <c r="H4" s="60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0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0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 t="shared" si="0"/>
        <v>1483.07</v>
      </c>
      <c r="H7" s="60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72" t="s">
        <v>293</v>
      </c>
      <c r="G9" s="72"/>
      <c r="H9" s="72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72" t="s">
        <v>294</v>
      </c>
      <c r="G10" s="72"/>
      <c r="H10" s="72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2026-02-25T00:50:24Z</dcterms:modified>
</cp:coreProperties>
</file>